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50d7389c2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wpoint_Trend" sheetId="1" r:id="R44811e2edcf8445a"/>
    <x:sheet xmlns:r="http://schemas.openxmlformats.org/officeDocument/2006/relationships" name="Calibration" sheetId="2" r:id="Rd34640bf1ca64c5b"/>
    <x:sheet xmlns:r="http://schemas.openxmlformats.org/officeDocument/2006/relationships" name="Transition_Log" sheetId="3" r:id="Rb843ea28d7994c9b"/>
    <x:sheet xmlns:r="http://schemas.openxmlformats.org/officeDocument/2006/relationships" name="Summary" sheetId="4" r:id="R66170ef809d8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4798bad064a11" /><Relationship Type="http://schemas.openxmlformats.org/officeDocument/2006/relationships/theme" Target="/xl/theme/theme1.xml" Id="Rcd03c9e3e6754188" /><Relationship Type="http://schemas.openxmlformats.org/officeDocument/2006/relationships/sharedStrings" Target="/xl/sharedStrings.xml" Id="R608e92af5d784557" /><Relationship Type="http://schemas.openxmlformats.org/officeDocument/2006/relationships/worksheet" Target="/xl/worksheets/sheet1.xml" Id="R44811e2edcf8445a" /><Relationship Type="http://schemas.openxmlformats.org/officeDocument/2006/relationships/worksheet" Target="/xl/worksheets/sheet2.xml" Id="Rd34640bf1ca64c5b" /><Relationship Type="http://schemas.openxmlformats.org/officeDocument/2006/relationships/worksheet" Target="/xl/worksheets/sheet3.xml" Id="Rb843ea28d7994c9b" /><Relationship Type="http://schemas.openxmlformats.org/officeDocument/2006/relationships/worksheet" Target="/xl/worksheets/sheet4.xml" Id="R66170ef809d84801" /></Relationships>
</file>

<file path=xl/tables/table1.xml><?xml version="1.0" encoding="utf-8"?>
<x:table xmlns:x="http://schemas.openxmlformats.org/spreadsheetml/2006/main" id="1" name="DewpointTrendTbl" displayName="DewpointTrendTbl" ref="A3:J99" headerRowCount="1">
  <x:tableColumns count="10">
    <x:tableColumn id="1" name="row_id"/>
    <x:tableColumn id="2" name="timestamp"/>
    <x:tableColumn id="3" name="operating_phase"/>
    <x:tableColumn id="4" name="raw_dewpoint_C"/>
    <x:tableColumn id="5" name="correction_C"/>
    <x:tableColumn id="6" name="corrected_dewpoint_C"/>
    <x:tableColumn id="7" name="stable_flag"/>
    <x:tableColumn id="8" name="transition_type"/>
    <x:tableColumn id="9" name="panel_label"/>
    <x:tableColumn id="10" name="stable_limit_C"/>
  </x:tableColumns>
  <x:tableStyleInfo name="TableStyleMedium2" showRowStripes="1"/>
</x:table>
</file>

<file path=xl/tables/table2.xml><?xml version="1.0" encoding="utf-8"?>
<x:table xmlns:x="http://schemas.openxmlformats.org/spreadsheetml/2006/main" id="2" name="DewpointCalTbl" displayName="DewpointCalTbl" ref="A3:H6" headerRowCount="1">
  <x:tableColumns count="8">
    <x:tableColumn id="1" name="calibration_id"/>
    <x:tableColumn id="2" name="sensor_tag"/>
    <x:tableColumn id="3" name="calibration_date"/>
    <x:tableColumn id="4" name="as_found_bias_C"/>
    <x:tableColumn id="5" name="applied_correction_C"/>
    <x:tableColumn id="6" name="as_left_error_C"/>
    <x:tableColumn id="7" name="certificate_status"/>
    <x:tableColumn id="8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TransitionTbl" displayName="TransitionTbl" ref="A3:E27" headerRowCount="1">
  <x:tableColumns count="5">
    <x:tableColumn id="1" name="row_id"/>
    <x:tableColumn id="2" name="timestamp"/>
    <x:tableColumn id="3" name="phase"/>
    <x:tableColumn id="4" name="corrected_dewpoint_C"/>
    <x:tableColumn id="5" name="exclusion_basis"/>
  </x:tableColumns>
  <x:tableStyleInfo name="TableStyleMedium2" showRowStripes="1"/>
</x:table>
</file>

<file path=xl/tables/table4.xml><?xml version="1.0" encoding="utf-8"?>
<x:table xmlns:x="http://schemas.openxmlformats.org/spreadsheetml/2006/main" id="4" name="DewpointSummaryTbl" displayName="DewpointSummaryTbl" ref="A3:G9" headerRowCount="1">
  <x:tableColumns count="7">
    <x:tableColumn id="1" name="summary_id"/>
    <x:tableColumn id="2" name="metric"/>
    <x:tableColumn id="3" name="value"/>
    <x:tableColumn id="4" name="unit"/>
    <x:tableColumn id="5" name="calculation_scope"/>
    <x:tableColumn id="6" name="status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PlantEngineering">
  <a:themeElements>
    <a:clrScheme name="PlantEngineer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lantEngineer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142c52a26347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622a05f75940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0b99fb2ee740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e85bb1541e46a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4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14" hidden="0" customWidth="1"/>
    <x:col min="11" max="11" width="22" hidden="0" customWidth="1"/>
  </x:cols>
  <x:sheetData>
    <x:row r="1" ht="24" customHeight="1">
      <x:c r="A1" s="5" t="str">
        <x:v>CA-D-317A Outlet Dewpoint Trend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5" t="str">
        <x:v>row_id</x:v>
      </x:c>
      <x:c r="B3" s="15" t="str">
        <x:v>timestamp</x:v>
      </x:c>
      <x:c r="C3" s="15" t="str">
        <x:v>operating_phase</x:v>
      </x:c>
      <x:c r="D3" s="15" t="str">
        <x:v>raw_dewpoint_C</x:v>
      </x:c>
      <x:c r="E3" s="15" t="str">
        <x:v>correction_C</x:v>
      </x:c>
      <x:c r="F3" s="15" t="str">
        <x:v>corrected_dewpoint_C</x:v>
      </x:c>
      <x:c r="G3" s="15" t="str">
        <x:v>stable_flag</x:v>
      </x:c>
      <x:c r="H3" s="15" t="str">
        <x:v>transition_type</x:v>
      </x:c>
      <x:c r="I3" s="15" t="str">
        <x:v>panel_label</x:v>
      </x:c>
      <x:c r="J3" s="15" t="str">
        <x:v>stable_limit_C</x:v>
      </x:c>
      <x:c r="K3" s="15" t="str">
        <x:v>calculated_classification</x:v>
      </x:c>
    </x:row>
    <x:row r="4">
      <x:c r="A4" s="24" t="str">
        <x:v>DPT-001</x:v>
      </x:c>
      <x:c r="B4" s="24" t="str">
        <x:v>2026-06-21T00:00</x:v>
      </x:c>
      <x:c r="C4" s="24" t="str">
        <x:v>STARTUP</x:v>
      </x:c>
      <x:c r="D4" s="24" t="n">
        <x:v>-7.3</x:v>
      </x:c>
      <x:c r="E4" s="24" t="n">
        <x:v>-0.7</x:v>
      </x:c>
      <x:c r="F4" s="24" t="n">
        <x:v>-8</x:v>
      </x:c>
      <x:c r="G4" s="24" t="str">
        <x:v>NO</x:v>
      </x:c>
      <x:c r="H4" s="24" t="str">
        <x:v>STARTUP</x:v>
      </x:c>
      <x:c r="I4" s="24" t="str">
        <x:v>TRANSITION</x:v>
      </x:c>
      <x:c r="J4" s="24" t="n">
        <x:v>-35</x:v>
      </x:c>
      <x:c r="K4" t="str">
        <x:f>IF(G4="NO","EXCLUDE",IF(F4&lt;=J4,"PASS","FAIL"))</x:f>
        <x:v>EXCLUDE</x:v>
      </x:c>
    </x:row>
    <x:row r="5">
      <x:c r="A5" s="24" t="str">
        <x:v>DPT-002</x:v>
      </x:c>
      <x:c r="B5" s="24" t="str">
        <x:v>2026-06-21T00:15</x:v>
      </x:c>
      <x:c r="C5" s="24" t="str">
        <x:v>STARTUP</x:v>
      </x:c>
      <x:c r="D5" s="24" t="n">
        <x:v>-10</x:v>
      </x:c>
      <x:c r="E5" s="24" t="n">
        <x:v>-0.7</x:v>
      </x:c>
      <x:c r="F5" s="24" t="n">
        <x:v>-10.7</x:v>
      </x:c>
      <x:c r="G5" s="24" t="str">
        <x:v>NO</x:v>
      </x:c>
      <x:c r="H5" s="24" t="str">
        <x:v>STARTUP</x:v>
      </x:c>
      <x:c r="I5" s="24" t="str">
        <x:v>TRANSITION</x:v>
      </x:c>
      <x:c r="J5" s="24" t="n">
        <x:v>-35</x:v>
      </x:c>
      <x:c r="K5" t="str">
        <x:f>IF(G5="NO","EXCLUDE",IF(F5&lt;=J5,"PASS","FAIL"))</x:f>
        <x:v>EXCLUDE</x:v>
      </x:c>
    </x:row>
    <x:row r="6">
      <x:c r="A6" s="24" t="str">
        <x:v>DPT-003</x:v>
      </x:c>
      <x:c r="B6" s="24" t="str">
        <x:v>2026-06-21T00:30</x:v>
      </x:c>
      <x:c r="C6" s="24" t="str">
        <x:v>STARTUP</x:v>
      </x:c>
      <x:c r="D6" s="24" t="n">
        <x:v>-12.7</x:v>
      </x:c>
      <x:c r="E6" s="24" t="n">
        <x:v>-0.7</x:v>
      </x:c>
      <x:c r="F6" s="24" t="n">
        <x:v>-13.4</x:v>
      </x:c>
      <x:c r="G6" s="24" t="str">
        <x:v>NO</x:v>
      </x:c>
      <x:c r="H6" s="24" t="str">
        <x:v>STARTUP</x:v>
      </x:c>
      <x:c r="I6" s="24" t="str">
        <x:v>TRANSITION</x:v>
      </x:c>
      <x:c r="J6" s="24" t="n">
        <x:v>-35</x:v>
      </x:c>
      <x:c r="K6" t="str">
        <x:f>IF(G6="NO","EXCLUDE",IF(F6&lt;=J6,"PASS","FAIL"))</x:f>
        <x:v>EXCLUDE</x:v>
      </x:c>
    </x:row>
    <x:row r="7">
      <x:c r="A7" s="24" t="str">
        <x:v>DPT-004</x:v>
      </x:c>
      <x:c r="B7" s="24" t="str">
        <x:v>2026-06-21T00:45</x:v>
      </x:c>
      <x:c r="C7" s="24" t="str">
        <x:v>STARTUP</x:v>
      </x:c>
      <x:c r="D7" s="24" t="n">
        <x:v>-15.4</x:v>
      </x:c>
      <x:c r="E7" s="24" t="n">
        <x:v>-0.7</x:v>
      </x:c>
      <x:c r="F7" s="24" t="n">
        <x:v>-16.1</x:v>
      </x:c>
      <x:c r="G7" s="24" t="str">
        <x:v>NO</x:v>
      </x:c>
      <x:c r="H7" s="24" t="str">
        <x:v>STARTUP</x:v>
      </x:c>
      <x:c r="I7" s="24" t="str">
        <x:v>TRANSITION</x:v>
      </x:c>
      <x:c r="J7" s="24" t="n">
        <x:v>-35</x:v>
      </x:c>
      <x:c r="K7" t="str">
        <x:f>IF(G7="NO","EXCLUDE",IF(F7&lt;=J7,"PASS","FAIL"))</x:f>
        <x:v>EXCLUDE</x:v>
      </x:c>
    </x:row>
    <x:row r="8">
      <x:c r="A8" s="24" t="str">
        <x:v>DPT-005</x:v>
      </x:c>
      <x:c r="B8" s="24" t="str">
        <x:v>2026-06-21T01:00</x:v>
      </x:c>
      <x:c r="C8" s="24" t="str">
        <x:v>STARTUP</x:v>
      </x:c>
      <x:c r="D8" s="24" t="n">
        <x:v>-18.1</x:v>
      </x:c>
      <x:c r="E8" s="24" t="n">
        <x:v>-0.7</x:v>
      </x:c>
      <x:c r="F8" s="24" t="n">
        <x:v>-18.8</x:v>
      </x:c>
      <x:c r="G8" s="24" t="str">
        <x:v>NO</x:v>
      </x:c>
      <x:c r="H8" s="24" t="str">
        <x:v>STARTUP</x:v>
      </x:c>
      <x:c r="I8" s="24" t="str">
        <x:v>TRANSITION</x:v>
      </x:c>
      <x:c r="J8" s="24" t="n">
        <x:v>-35</x:v>
      </x:c>
      <x:c r="K8" t="str">
        <x:f>IF(G8="NO","EXCLUDE",IF(F8&lt;=J8,"PASS","FAIL"))</x:f>
        <x:v>EXCLUDE</x:v>
      </x:c>
    </x:row>
    <x:row r="9">
      <x:c r="A9" s="24" t="str">
        <x:v>DPT-006</x:v>
      </x:c>
      <x:c r="B9" s="24" t="str">
        <x:v>2026-06-21T01:15</x:v>
      </x:c>
      <x:c r="C9" s="24" t="str">
        <x:v>STARTUP</x:v>
      </x:c>
      <x:c r="D9" s="24" t="n">
        <x:v>-20.8</x:v>
      </x:c>
      <x:c r="E9" s="24" t="n">
        <x:v>-0.7</x:v>
      </x:c>
      <x:c r="F9" s="24" t="n">
        <x:v>-21.5</x:v>
      </x:c>
      <x:c r="G9" s="24" t="str">
        <x:v>NO</x:v>
      </x:c>
      <x:c r="H9" s="24" t="str">
        <x:v>STARTUP</x:v>
      </x:c>
      <x:c r="I9" s="24" t="str">
        <x:v>TRANSITION</x:v>
      </x:c>
      <x:c r="J9" s="24" t="n">
        <x:v>-35</x:v>
      </x:c>
      <x:c r="K9" t="str">
        <x:f>IF(G9="NO","EXCLUDE",IF(F9&lt;=J9,"PASS","FAIL"))</x:f>
        <x:v>EXCLUDE</x:v>
      </x:c>
    </x:row>
    <x:row r="10">
      <x:c r="A10" s="24" t="str">
        <x:v>DPT-007</x:v>
      </x:c>
      <x:c r="B10" s="24" t="str">
        <x:v>2026-06-21T01:30</x:v>
      </x:c>
      <x:c r="C10" s="24" t="str">
        <x:v>STARTUP</x:v>
      </x:c>
      <x:c r="D10" s="24" t="n">
        <x:v>-23.5</x:v>
      </x:c>
      <x:c r="E10" s="24" t="n">
        <x:v>-0.7</x:v>
      </x:c>
      <x:c r="F10" s="24" t="n">
        <x:v>-24.2</x:v>
      </x:c>
      <x:c r="G10" s="24" t="str">
        <x:v>NO</x:v>
      </x:c>
      <x:c r="H10" s="24" t="str">
        <x:v>STARTUP</x:v>
      </x:c>
      <x:c r="I10" s="24" t="str">
        <x:v>TRANSITION</x:v>
      </x:c>
      <x:c r="J10" s="24" t="n">
        <x:v>-35</x:v>
      </x:c>
      <x:c r="K10" t="str">
        <x:f>IF(G10="NO","EXCLUDE",IF(F10&lt;=J10,"PASS","FAIL"))</x:f>
        <x:v>EXCLUDE</x:v>
      </x:c>
    </x:row>
    <x:row r="11">
      <x:c r="A11" s="24" t="str">
        <x:v>DPT-008</x:v>
      </x:c>
      <x:c r="B11" s="24" t="str">
        <x:v>2026-06-21T01:45</x:v>
      </x:c>
      <x:c r="C11" s="24" t="str">
        <x:v>STARTUP</x:v>
      </x:c>
      <x:c r="D11" s="24" t="n">
        <x:v>-26.2</x:v>
      </x:c>
      <x:c r="E11" s="24" t="n">
        <x:v>-0.7</x:v>
      </x:c>
      <x:c r="F11" s="24" t="n">
        <x:v>-26.9</x:v>
      </x:c>
      <x:c r="G11" s="24" t="str">
        <x:v>NO</x:v>
      </x:c>
      <x:c r="H11" s="24" t="str">
        <x:v>STARTUP</x:v>
      </x:c>
      <x:c r="I11" s="24" t="str">
        <x:v>TRANSITION</x:v>
      </x:c>
      <x:c r="J11" s="24" t="n">
        <x:v>-35</x:v>
      </x:c>
      <x:c r="K11" t="str">
        <x:f>IF(G11="NO","EXCLUDE",IF(F11&lt;=J11,"PASS","FAIL"))</x:f>
        <x:v>EXCLUDE</x:v>
      </x:c>
    </x:row>
    <x:row r="12">
      <x:c r="A12" s="24" t="str">
        <x:v>DPT-009</x:v>
      </x:c>
      <x:c r="B12" s="24" t="str">
        <x:v>2026-06-21T02:00</x:v>
      </x:c>
      <x:c r="C12" s="24" t="str">
        <x:v>STABLE</x:v>
      </x:c>
      <x:c r="D12" s="24" t="n">
        <x:v>-45.3</x:v>
      </x:c>
      <x:c r="E12" s="24" t="n">
        <x:v>-0.7</x:v>
      </x:c>
      <x:c r="F12" s="24" t="n">
        <x:v>-46</x:v>
      </x:c>
      <x:c r="G12" s="24" t="str">
        <x:v>YES</x:v>
      </x:c>
      <x:c r="H12" s="24" t="str"/>
      <x:c r="I12" s="24" t="str">
        <x:v>NORMAL</x:v>
      </x:c>
      <x:c r="J12" s="24" t="n">
        <x:v>-35</x:v>
      </x:c>
      <x:c r="K12" t="str">
        <x:f>IF(G12="NO","EXCLUDE",IF(F12&lt;=J12,"PASS","FAIL"))</x:f>
        <x:v>PASS</x:v>
      </x:c>
    </x:row>
    <x:row r="13">
      <x:c r="A13" s="24" t="str">
        <x:v>DPT-010</x:v>
      </x:c>
      <x:c r="B13" s="24" t="str">
        <x:v>2026-06-21T02:15</x:v>
      </x:c>
      <x:c r="C13" s="24" t="str">
        <x:v>STABLE</x:v>
      </x:c>
      <x:c r="D13" s="24" t="n">
        <x:v>-45.1</x:v>
      </x:c>
      <x:c r="E13" s="24" t="n">
        <x:v>-0.7</x:v>
      </x:c>
      <x:c r="F13" s="24" t="n">
        <x:v>-45.8</x:v>
      </x:c>
      <x:c r="G13" s="24" t="str">
        <x:v>YES</x:v>
      </x:c>
      <x:c r="H13" s="24" t="str"/>
      <x:c r="I13" s="24" t="str">
        <x:v>NORMAL</x:v>
      </x:c>
      <x:c r="J13" s="24" t="n">
        <x:v>-35</x:v>
      </x:c>
      <x:c r="K13" t="str">
        <x:f>IF(G13="NO","EXCLUDE",IF(F13&lt;=J13,"PASS","FAIL"))</x:f>
        <x:v>PASS</x:v>
      </x:c>
    </x:row>
    <x:row r="14">
      <x:c r="A14" s="24" t="str">
        <x:v>DPT-011</x:v>
      </x:c>
      <x:c r="B14" s="24" t="str">
        <x:v>2026-06-21T02:30</x:v>
      </x:c>
      <x:c r="C14" s="24" t="str">
        <x:v>STABLE</x:v>
      </x:c>
      <x:c r="D14" s="24" t="n">
        <x:v>-44.8</x:v>
      </x:c>
      <x:c r="E14" s="24" t="n">
        <x:v>-0.7</x:v>
      </x:c>
      <x:c r="F14" s="24" t="n">
        <x:v>-45.5</x:v>
      </x:c>
      <x:c r="G14" s="24" t="str">
        <x:v>YES</x:v>
      </x:c>
      <x:c r="H14" s="24" t="str"/>
      <x:c r="I14" s="24" t="str">
        <x:v>NORMAL</x:v>
      </x:c>
      <x:c r="J14" s="24" t="n">
        <x:v>-35</x:v>
      </x:c>
      <x:c r="K14" t="str">
        <x:f>IF(G14="NO","EXCLUDE",IF(F14&lt;=J14,"PASS","FAIL"))</x:f>
        <x:v>PASS</x:v>
      </x:c>
    </x:row>
    <x:row r="15">
      <x:c r="A15" s="24" t="str">
        <x:v>DPT-012</x:v>
      </x:c>
      <x:c r="B15" s="24" t="str">
        <x:v>2026-06-21T02:45</x:v>
      </x:c>
      <x:c r="C15" s="24" t="str">
        <x:v>STABLE</x:v>
      </x:c>
      <x:c r="D15" s="24" t="n">
        <x:v>-44.6</x:v>
      </x:c>
      <x:c r="E15" s="24" t="n">
        <x:v>-0.7</x:v>
      </x:c>
      <x:c r="F15" s="24" t="n">
        <x:v>-45.3</x:v>
      </x:c>
      <x:c r="G15" s="24" t="str">
        <x:v>YES</x:v>
      </x:c>
      <x:c r="H15" s="24" t="str"/>
      <x:c r="I15" s="24" t="str">
        <x:v>NORMAL</x:v>
      </x:c>
      <x:c r="J15" s="24" t="n">
        <x:v>-35</x:v>
      </x:c>
      <x:c r="K15" t="str">
        <x:f>IF(G15="NO","EXCLUDE",IF(F15&lt;=J15,"PASS","FAIL"))</x:f>
        <x:v>PASS</x:v>
      </x:c>
    </x:row>
    <x:row r="16">
      <x:c r="A16" s="24" t="str">
        <x:v>DPT-013</x:v>
      </x:c>
      <x:c r="B16" s="24" t="str">
        <x:v>2026-06-21T03:00</x:v>
      </x:c>
      <x:c r="C16" s="24" t="str">
        <x:v>STABLE</x:v>
      </x:c>
      <x:c r="D16" s="24" t="n">
        <x:v>-44.4</x:v>
      </x:c>
      <x:c r="E16" s="24" t="n">
        <x:v>-0.7</x:v>
      </x:c>
      <x:c r="F16" s="24" t="n">
        <x:v>-45.1</x:v>
      </x:c>
      <x:c r="G16" s="24" t="str">
        <x:v>YES</x:v>
      </x:c>
      <x:c r="H16" s="24" t="str"/>
      <x:c r="I16" s="24" t="str">
        <x:v>NORMAL</x:v>
      </x:c>
      <x:c r="J16" s="24" t="n">
        <x:v>-35</x:v>
      </x:c>
      <x:c r="K16" t="str">
        <x:f>IF(G16="NO","EXCLUDE",IF(F16&lt;=J16,"PASS","FAIL"))</x:f>
        <x:v>PASS</x:v>
      </x:c>
    </x:row>
    <x:row r="17">
      <x:c r="A17" s="24" t="str">
        <x:v>DPT-014</x:v>
      </x:c>
      <x:c r="B17" s="24" t="str">
        <x:v>2026-06-21T03:15</x:v>
      </x:c>
      <x:c r="C17" s="24" t="str">
        <x:v>STABLE</x:v>
      </x:c>
      <x:c r="D17" s="24" t="n">
        <x:v>-44.1</x:v>
      </x:c>
      <x:c r="E17" s="24" t="n">
        <x:v>-0.7</x:v>
      </x:c>
      <x:c r="F17" s="24" t="n">
        <x:v>-44.8</x:v>
      </x:c>
      <x:c r="G17" s="24" t="str">
        <x:v>YES</x:v>
      </x:c>
      <x:c r="H17" s="24" t="str"/>
      <x:c r="I17" s="24" t="str">
        <x:v>NORMAL</x:v>
      </x:c>
      <x:c r="J17" s="24" t="n">
        <x:v>-35</x:v>
      </x:c>
      <x:c r="K17" t="str">
        <x:f>IF(G17="NO","EXCLUDE",IF(F17&lt;=J17,"PASS","FAIL"))</x:f>
        <x:v>PASS</x:v>
      </x:c>
    </x:row>
    <x:row r="18">
      <x:c r="A18" s="24" t="str">
        <x:v>DPT-015</x:v>
      </x:c>
      <x:c r="B18" s="24" t="str">
        <x:v>2026-06-21T03:30</x:v>
      </x:c>
      <x:c r="C18" s="24" t="str">
        <x:v>STABLE</x:v>
      </x:c>
      <x:c r="D18" s="24" t="n">
        <x:v>-43.9</x:v>
      </x:c>
      <x:c r="E18" s="24" t="n">
        <x:v>-0.7</x:v>
      </x:c>
      <x:c r="F18" s="24" t="n">
        <x:v>-44.6</x:v>
      </x:c>
      <x:c r="G18" s="24" t="str">
        <x:v>YES</x:v>
      </x:c>
      <x:c r="H18" s="24" t="str"/>
      <x:c r="I18" s="24" t="str">
        <x:v>NORMAL</x:v>
      </x:c>
      <x:c r="J18" s="24" t="n">
        <x:v>-35</x:v>
      </x:c>
      <x:c r="K18" t="str">
        <x:f>IF(G18="NO","EXCLUDE",IF(F18&lt;=J18,"PASS","FAIL"))</x:f>
        <x:v>PASS</x:v>
      </x:c>
    </x:row>
    <x:row r="19">
      <x:c r="A19" s="24" t="str">
        <x:v>DPT-016</x:v>
      </x:c>
      <x:c r="B19" s="24" t="str">
        <x:v>2026-06-21T03:45</x:v>
      </x:c>
      <x:c r="C19" s="24" t="str">
        <x:v>STABLE</x:v>
      </x:c>
      <x:c r="D19" s="24" t="n">
        <x:v>-43.7</x:v>
      </x:c>
      <x:c r="E19" s="24" t="n">
        <x:v>-0.7</x:v>
      </x:c>
      <x:c r="F19" s="24" t="n">
        <x:v>-44.4</x:v>
      </x:c>
      <x:c r="G19" s="24" t="str">
        <x:v>YES</x:v>
      </x:c>
      <x:c r="H19" s="24" t="str"/>
      <x:c r="I19" s="24" t="str">
        <x:v>NORMAL</x:v>
      </x:c>
      <x:c r="J19" s="24" t="n">
        <x:v>-35</x:v>
      </x:c>
      <x:c r="K19" t="str">
        <x:f>IF(G19="NO","EXCLUDE",IF(F19&lt;=J19,"PASS","FAIL"))</x:f>
        <x:v>PASS</x:v>
      </x:c>
    </x:row>
    <x:row r="20">
      <x:c r="A20" s="24" t="str">
        <x:v>DPT-017</x:v>
      </x:c>
      <x:c r="B20" s="24" t="str">
        <x:v>2026-06-21T04:00</x:v>
      </x:c>
      <x:c r="C20" s="24" t="str">
        <x:v>STABLE</x:v>
      </x:c>
      <x:c r="D20" s="24" t="n">
        <x:v>-43.4</x:v>
      </x:c>
      <x:c r="E20" s="24" t="n">
        <x:v>-0.7</x:v>
      </x:c>
      <x:c r="F20" s="24" t="n">
        <x:v>-44.1</x:v>
      </x:c>
      <x:c r="G20" s="24" t="str">
        <x:v>YES</x:v>
      </x:c>
      <x:c r="H20" s="24" t="str"/>
      <x:c r="I20" s="24" t="str">
        <x:v>NORMAL</x:v>
      </x:c>
      <x:c r="J20" s="24" t="n">
        <x:v>-35</x:v>
      </x:c>
      <x:c r="K20" t="str">
        <x:f>IF(G20="NO","EXCLUDE",IF(F20&lt;=J20,"PASS","FAIL"))</x:f>
        <x:v>PASS</x:v>
      </x:c>
    </x:row>
    <x:row r="21">
      <x:c r="A21" s="24" t="str">
        <x:v>DPT-018</x:v>
      </x:c>
      <x:c r="B21" s="24" t="str">
        <x:v>2026-06-21T04:15</x:v>
      </x:c>
      <x:c r="C21" s="24" t="str">
        <x:v>STABLE</x:v>
      </x:c>
      <x:c r="D21" s="24" t="n">
        <x:v>-43.2</x:v>
      </x:c>
      <x:c r="E21" s="24" t="n">
        <x:v>-0.7</x:v>
      </x:c>
      <x:c r="F21" s="24" t="n">
        <x:v>-43.9</x:v>
      </x:c>
      <x:c r="G21" s="24" t="str">
        <x:v>YES</x:v>
      </x:c>
      <x:c r="H21" s="24" t="str"/>
      <x:c r="I21" s="24" t="str">
        <x:v>NORMAL</x:v>
      </x:c>
      <x:c r="J21" s="24" t="n">
        <x:v>-35</x:v>
      </x:c>
      <x:c r="K21" t="str">
        <x:f>IF(G21="NO","EXCLUDE",IF(F21&lt;=J21,"PASS","FAIL"))</x:f>
        <x:v>PASS</x:v>
      </x:c>
    </x:row>
    <x:row r="22">
      <x:c r="A22" s="24" t="str">
        <x:v>DPT-019</x:v>
      </x:c>
      <x:c r="B22" s="24" t="str">
        <x:v>2026-06-21T04:30</x:v>
      </x:c>
      <x:c r="C22" s="24" t="str">
        <x:v>STABLE</x:v>
      </x:c>
      <x:c r="D22" s="24" t="n">
        <x:v>-42.9</x:v>
      </x:c>
      <x:c r="E22" s="24" t="n">
        <x:v>-0.7</x:v>
      </x:c>
      <x:c r="F22" s="24" t="n">
        <x:v>-43.6</x:v>
      </x:c>
      <x:c r="G22" s="24" t="str">
        <x:v>YES</x:v>
      </x:c>
      <x:c r="H22" s="24" t="str"/>
      <x:c r="I22" s="24" t="str">
        <x:v>NORMAL</x:v>
      </x:c>
      <x:c r="J22" s="24" t="n">
        <x:v>-35</x:v>
      </x:c>
      <x:c r="K22" t="str">
        <x:f>IF(G22="NO","EXCLUDE",IF(F22&lt;=J22,"PASS","FAIL"))</x:f>
        <x:v>PASS</x:v>
      </x:c>
    </x:row>
    <x:row r="23">
      <x:c r="A23" s="24" t="str">
        <x:v>DPT-020</x:v>
      </x:c>
      <x:c r="B23" s="24" t="str">
        <x:v>2026-06-21T04:45</x:v>
      </x:c>
      <x:c r="C23" s="24" t="str">
        <x:v>STABLE</x:v>
      </x:c>
      <x:c r="D23" s="24" t="n">
        <x:v>-42.7</x:v>
      </x:c>
      <x:c r="E23" s="24" t="n">
        <x:v>-0.7</x:v>
      </x:c>
      <x:c r="F23" s="24" t="n">
        <x:v>-43.4</x:v>
      </x:c>
      <x:c r="G23" s="24" t="str">
        <x:v>YES</x:v>
      </x:c>
      <x:c r="H23" s="24" t="str"/>
      <x:c r="I23" s="24" t="str">
        <x:v>NORMAL</x:v>
      </x:c>
      <x:c r="J23" s="24" t="n">
        <x:v>-35</x:v>
      </x:c>
      <x:c r="K23" t="str">
        <x:f>IF(G23="NO","EXCLUDE",IF(F23&lt;=J23,"PASS","FAIL"))</x:f>
        <x:v>PASS</x:v>
      </x:c>
    </x:row>
    <x:row r="24">
      <x:c r="A24" s="24" t="str">
        <x:v>DPT-021</x:v>
      </x:c>
      <x:c r="B24" s="24" t="str">
        <x:v>2026-06-21T05:00</x:v>
      </x:c>
      <x:c r="C24" s="24" t="str">
        <x:v>STABLE</x:v>
      </x:c>
      <x:c r="D24" s="24" t="n">
        <x:v>-42.5</x:v>
      </x:c>
      <x:c r="E24" s="24" t="n">
        <x:v>-0.7</x:v>
      </x:c>
      <x:c r="F24" s="24" t="n">
        <x:v>-43.2</x:v>
      </x:c>
      <x:c r="G24" s="24" t="str">
        <x:v>YES</x:v>
      </x:c>
      <x:c r="H24" s="24" t="str"/>
      <x:c r="I24" s="24" t="str">
        <x:v>NORMAL</x:v>
      </x:c>
      <x:c r="J24" s="24" t="n">
        <x:v>-35</x:v>
      </x:c>
      <x:c r="K24" t="str">
        <x:f>IF(G24="NO","EXCLUDE",IF(F24&lt;=J24,"PASS","FAIL"))</x:f>
        <x:v>PASS</x:v>
      </x:c>
    </x:row>
    <x:row r="25">
      <x:c r="A25" s="24" t="str">
        <x:v>DPT-022</x:v>
      </x:c>
      <x:c r="B25" s="24" t="str">
        <x:v>2026-06-21T05:15</x:v>
      </x:c>
      <x:c r="C25" s="24" t="str">
        <x:v>STABLE</x:v>
      </x:c>
      <x:c r="D25" s="24" t="n">
        <x:v>-42.2</x:v>
      </x:c>
      <x:c r="E25" s="24" t="n">
        <x:v>-0.7</x:v>
      </x:c>
      <x:c r="F25" s="24" t="n">
        <x:v>-42.9</x:v>
      </x:c>
      <x:c r="G25" s="24" t="str">
        <x:v>YES</x:v>
      </x:c>
      <x:c r="H25" s="24" t="str"/>
      <x:c r="I25" s="24" t="str">
        <x:v>NORMAL</x:v>
      </x:c>
      <x:c r="J25" s="24" t="n">
        <x:v>-35</x:v>
      </x:c>
      <x:c r="K25" t="str">
        <x:f>IF(G25="NO","EXCLUDE",IF(F25&lt;=J25,"PASS","FAIL"))</x:f>
        <x:v>PASS</x:v>
      </x:c>
    </x:row>
    <x:row r="26">
      <x:c r="A26" s="24" t="str">
        <x:v>DPT-023</x:v>
      </x:c>
      <x:c r="B26" s="24" t="str">
        <x:v>2026-06-21T05:30</x:v>
      </x:c>
      <x:c r="C26" s="24" t="str">
        <x:v>STABLE</x:v>
      </x:c>
      <x:c r="D26" s="24" t="n">
        <x:v>-42</x:v>
      </x:c>
      <x:c r="E26" s="24" t="n">
        <x:v>-0.7</x:v>
      </x:c>
      <x:c r="F26" s="24" t="n">
        <x:v>-42.7</x:v>
      </x:c>
      <x:c r="G26" s="24" t="str">
        <x:v>YES</x:v>
      </x:c>
      <x:c r="H26" s="24" t="str"/>
      <x:c r="I26" s="24" t="str">
        <x:v>NORMAL</x:v>
      </x:c>
      <x:c r="J26" s="24" t="n">
        <x:v>-35</x:v>
      </x:c>
      <x:c r="K26" t="str">
        <x:f>IF(G26="NO","EXCLUDE",IF(F26&lt;=J26,"PASS","FAIL"))</x:f>
        <x:v>PASS</x:v>
      </x:c>
    </x:row>
    <x:row r="27">
      <x:c r="A27" s="24" t="str">
        <x:v>DPT-024</x:v>
      </x:c>
      <x:c r="B27" s="24" t="str">
        <x:v>2026-06-21T05:45</x:v>
      </x:c>
      <x:c r="C27" s="24" t="str">
        <x:v>STABLE</x:v>
      </x:c>
      <x:c r="D27" s="24" t="n">
        <x:v>-41.8</x:v>
      </x:c>
      <x:c r="E27" s="24" t="n">
        <x:v>-0.7</x:v>
      </x:c>
      <x:c r="F27" s="24" t="n">
        <x:v>-42.5</x:v>
      </x:c>
      <x:c r="G27" s="24" t="str">
        <x:v>YES</x:v>
      </x:c>
      <x:c r="H27" s="24" t="str"/>
      <x:c r="I27" s="24" t="str">
        <x:v>NORMAL</x:v>
      </x:c>
      <x:c r="J27" s="24" t="n">
        <x:v>-35</x:v>
      </x:c>
      <x:c r="K27" t="str">
        <x:f>IF(G27="NO","EXCLUDE",IF(F27&lt;=J27,"PASS","FAIL"))</x:f>
        <x:v>PASS</x:v>
      </x:c>
    </x:row>
    <x:row r="28">
      <x:c r="A28" s="24" t="str">
        <x:v>DPT-025</x:v>
      </x:c>
      <x:c r="B28" s="24" t="str">
        <x:v>2026-06-21T06:00</x:v>
      </x:c>
      <x:c r="C28" s="24" t="str">
        <x:v>STABLE</x:v>
      </x:c>
      <x:c r="D28" s="24" t="n">
        <x:v>-41.5</x:v>
      </x:c>
      <x:c r="E28" s="24" t="n">
        <x:v>-0.7</x:v>
      </x:c>
      <x:c r="F28" s="24" t="n">
        <x:v>-42.2</x:v>
      </x:c>
      <x:c r="G28" s="24" t="str">
        <x:v>YES</x:v>
      </x:c>
      <x:c r="H28" s="24" t="str"/>
      <x:c r="I28" s="24" t="str">
        <x:v>NORMAL</x:v>
      </x:c>
      <x:c r="J28" s="24" t="n">
        <x:v>-35</x:v>
      </x:c>
      <x:c r="K28" t="str">
        <x:f>IF(G28="NO","EXCLUDE",IF(F28&lt;=J28,"PASS","FAIL"))</x:f>
        <x:v>PASS</x:v>
      </x:c>
    </x:row>
    <x:row r="29">
      <x:c r="A29" s="24" t="str">
        <x:v>DPT-026</x:v>
      </x:c>
      <x:c r="B29" s="24" t="str">
        <x:v>2026-06-21T06:15</x:v>
      </x:c>
      <x:c r="C29" s="24" t="str">
        <x:v>STABLE</x:v>
      </x:c>
      <x:c r="D29" s="24" t="n">
        <x:v>-41.3</x:v>
      </x:c>
      <x:c r="E29" s="24" t="n">
        <x:v>-0.7</x:v>
      </x:c>
      <x:c r="F29" s="24" t="n">
        <x:v>-42</x:v>
      </x:c>
      <x:c r="G29" s="24" t="str">
        <x:v>YES</x:v>
      </x:c>
      <x:c r="H29" s="24" t="str"/>
      <x:c r="I29" s="24" t="str">
        <x:v>NORMAL</x:v>
      </x:c>
      <x:c r="J29" s="24" t="n">
        <x:v>-35</x:v>
      </x:c>
      <x:c r="K29" t="str">
        <x:f>IF(G29="NO","EXCLUDE",IF(F29&lt;=J29,"PASS","FAIL"))</x:f>
        <x:v>PASS</x:v>
      </x:c>
    </x:row>
    <x:row r="30">
      <x:c r="A30" s="24" t="str">
        <x:v>DPT-027</x:v>
      </x:c>
      <x:c r="B30" s="24" t="str">
        <x:v>2026-06-21T06:30</x:v>
      </x:c>
      <x:c r="C30" s="24" t="str">
        <x:v>STABLE</x:v>
      </x:c>
      <x:c r="D30" s="24" t="n">
        <x:v>-41.1</x:v>
      </x:c>
      <x:c r="E30" s="24" t="n">
        <x:v>-0.7</x:v>
      </x:c>
      <x:c r="F30" s="24" t="n">
        <x:v>-41.8</x:v>
      </x:c>
      <x:c r="G30" s="24" t="str">
        <x:v>YES</x:v>
      </x:c>
      <x:c r="H30" s="24" t="str"/>
      <x:c r="I30" s="24" t="str">
        <x:v>NORMAL</x:v>
      </x:c>
      <x:c r="J30" s="24" t="n">
        <x:v>-35</x:v>
      </x:c>
      <x:c r="K30" t="str">
        <x:f>IF(G30="NO","EXCLUDE",IF(F30&lt;=J30,"PASS","FAIL"))</x:f>
        <x:v>PASS</x:v>
      </x:c>
    </x:row>
    <x:row r="31">
      <x:c r="A31" s="24" t="str">
        <x:v>DPT-028</x:v>
      </x:c>
      <x:c r="B31" s="24" t="str">
        <x:v>2026-06-21T06:45</x:v>
      </x:c>
      <x:c r="C31" s="24" t="str">
        <x:v>STABLE</x:v>
      </x:c>
      <x:c r="D31" s="24" t="n">
        <x:v>-40.7</x:v>
      </x:c>
      <x:c r="E31" s="24" t="n">
        <x:v>-0.7</x:v>
      </x:c>
      <x:c r="F31" s="24" t="n">
        <x:v>-41.4</x:v>
      </x:c>
      <x:c r="G31" s="24" t="str">
        <x:v>YES</x:v>
      </x:c>
      <x:c r="H31" s="24" t="str"/>
      <x:c r="I31" s="24" t="str">
        <x:v>NORMAL</x:v>
      </x:c>
      <x:c r="J31" s="24" t="n">
        <x:v>-35</x:v>
      </x:c>
      <x:c r="K31" t="str">
        <x:f>IF(G31="NO","EXCLUDE",IF(F31&lt;=J31,"PASS","FAIL"))</x:f>
        <x:v>PASS</x:v>
      </x:c>
    </x:row>
    <x:row r="32">
      <x:c r="A32" s="24" t="str">
        <x:v>DPT-029</x:v>
      </x:c>
      <x:c r="B32" s="24" t="str">
        <x:v>2026-06-21T07:00</x:v>
      </x:c>
      <x:c r="C32" s="24" t="str">
        <x:v>STABLE</x:v>
      </x:c>
      <x:c r="D32" s="24" t="n">
        <x:v>-40.4</x:v>
      </x:c>
      <x:c r="E32" s="24" t="n">
        <x:v>-0.7</x:v>
      </x:c>
      <x:c r="F32" s="24" t="n">
        <x:v>-41.1</x:v>
      </x:c>
      <x:c r="G32" s="24" t="str">
        <x:v>YES</x:v>
      </x:c>
      <x:c r="H32" s="24" t="str"/>
      <x:c r="I32" s="24" t="str">
        <x:v>NORMAL</x:v>
      </x:c>
      <x:c r="J32" s="24" t="n">
        <x:v>-35</x:v>
      </x:c>
      <x:c r="K32" t="str">
        <x:f>IF(G32="NO","EXCLUDE",IF(F32&lt;=J32,"PASS","FAIL"))</x:f>
        <x:v>PASS</x:v>
      </x:c>
    </x:row>
    <x:row r="33">
      <x:c r="A33" s="24" t="str">
        <x:v>DPT-030</x:v>
      </x:c>
      <x:c r="B33" s="24" t="str">
        <x:v>2026-06-21T07:15</x:v>
      </x:c>
      <x:c r="C33" s="24" t="str">
        <x:v>STABLE</x:v>
      </x:c>
      <x:c r="D33" s="24" t="n">
        <x:v>-40.1</x:v>
      </x:c>
      <x:c r="E33" s="24" t="n">
        <x:v>-0.7</x:v>
      </x:c>
      <x:c r="F33" s="24" t="n">
        <x:v>-40.8</x:v>
      </x:c>
      <x:c r="G33" s="24" t="str">
        <x:v>YES</x:v>
      </x:c>
      <x:c r="H33" s="24" t="str"/>
      <x:c r="I33" s="24" t="str">
        <x:v>NORMAL</x:v>
      </x:c>
      <x:c r="J33" s="24" t="n">
        <x:v>-35</x:v>
      </x:c>
      <x:c r="K33" t="str">
        <x:f>IF(G33="NO","EXCLUDE",IF(F33&lt;=J33,"PASS","FAIL"))</x:f>
        <x:v>PASS</x:v>
      </x:c>
    </x:row>
    <x:row r="34">
      <x:c r="A34" s="24" t="str">
        <x:v>DPT-031</x:v>
      </x:c>
      <x:c r="B34" s="24" t="str">
        <x:v>2026-06-21T07:30</x:v>
      </x:c>
      <x:c r="C34" s="24" t="str">
        <x:v>STABLE</x:v>
      </x:c>
      <x:c r="D34" s="24" t="n">
        <x:v>-39.8</x:v>
      </x:c>
      <x:c r="E34" s="24" t="n">
        <x:v>-0.7</x:v>
      </x:c>
      <x:c r="F34" s="24" t="n">
        <x:v>-40.5</x:v>
      </x:c>
      <x:c r="G34" s="24" t="str">
        <x:v>YES</x:v>
      </x:c>
      <x:c r="H34" s="24" t="str"/>
      <x:c r="I34" s="24" t="str">
        <x:v>NORMAL</x:v>
      </x:c>
      <x:c r="J34" s="24" t="n">
        <x:v>-35</x:v>
      </x:c>
      <x:c r="K34" t="str">
        <x:f>IF(G34="NO","EXCLUDE",IF(F34&lt;=J34,"PASS","FAIL"))</x:f>
        <x:v>PASS</x:v>
      </x:c>
    </x:row>
    <x:row r="35">
      <x:c r="A35" s="24" t="str">
        <x:v>DPT-032</x:v>
      </x:c>
      <x:c r="B35" s="24" t="str">
        <x:v>2026-06-21T07:45</x:v>
      </x:c>
      <x:c r="C35" s="24" t="str">
        <x:v>STABLE</x:v>
      </x:c>
      <x:c r="D35" s="24" t="n">
        <x:v>-39.5</x:v>
      </x:c>
      <x:c r="E35" s="24" t="n">
        <x:v>-0.7</x:v>
      </x:c>
      <x:c r="F35" s="24" t="n">
        <x:v>-40.2</x:v>
      </x:c>
      <x:c r="G35" s="24" t="str">
        <x:v>YES</x:v>
      </x:c>
      <x:c r="H35" s="24" t="str"/>
      <x:c r="I35" s="24" t="str">
        <x:v>NORMAL</x:v>
      </x:c>
      <x:c r="J35" s="24" t="n">
        <x:v>-35</x:v>
      </x:c>
      <x:c r="K35" t="str">
        <x:f>IF(G35="NO","EXCLUDE",IF(F35&lt;=J35,"PASS","FAIL"))</x:f>
        <x:v>PASS</x:v>
      </x:c>
    </x:row>
    <x:row r="36">
      <x:c r="A36" s="24" t="str">
        <x:v>DPT-033</x:v>
      </x:c>
      <x:c r="B36" s="24" t="str">
        <x:v>2026-06-21T08:00</x:v>
      </x:c>
      <x:c r="C36" s="24" t="str">
        <x:v>STABLE</x:v>
      </x:c>
      <x:c r="D36" s="24" t="n">
        <x:v>-39.2</x:v>
      </x:c>
      <x:c r="E36" s="24" t="n">
        <x:v>-0.7</x:v>
      </x:c>
      <x:c r="F36" s="24" t="n">
        <x:v>-39.9</x:v>
      </x:c>
      <x:c r="G36" s="24" t="str">
        <x:v>YES</x:v>
      </x:c>
      <x:c r="H36" s="24" t="str"/>
      <x:c r="I36" s="24" t="str">
        <x:v>NORMAL</x:v>
      </x:c>
      <x:c r="J36" s="24" t="n">
        <x:v>-35</x:v>
      </x:c>
      <x:c r="K36" t="str">
        <x:f>IF(G36="NO","EXCLUDE",IF(F36&lt;=J36,"PASS","FAIL"))</x:f>
        <x:v>PASS</x:v>
      </x:c>
    </x:row>
    <x:row r="37">
      <x:c r="A37" s="24" t="str">
        <x:v>DPT-034</x:v>
      </x:c>
      <x:c r="B37" s="24" t="str">
        <x:v>2026-06-21T08:15</x:v>
      </x:c>
      <x:c r="C37" s="24" t="str">
        <x:v>STABLE</x:v>
      </x:c>
      <x:c r="D37" s="24" t="n">
        <x:v>-38.9</x:v>
      </x:c>
      <x:c r="E37" s="24" t="n">
        <x:v>-0.7</x:v>
      </x:c>
      <x:c r="F37" s="24" t="n">
        <x:v>-39.6</x:v>
      </x:c>
      <x:c r="G37" s="24" t="str">
        <x:v>YES</x:v>
      </x:c>
      <x:c r="H37" s="24" t="str"/>
      <x:c r="I37" s="24" t="str">
        <x:v>NORMAL</x:v>
      </x:c>
      <x:c r="J37" s="24" t="n">
        <x:v>-35</x:v>
      </x:c>
      <x:c r="K37" t="str">
        <x:f>IF(G37="NO","EXCLUDE",IF(F37&lt;=J37,"PASS","FAIL"))</x:f>
        <x:v>PASS</x:v>
      </x:c>
    </x:row>
    <x:row r="38">
      <x:c r="A38" s="24" t="str">
        <x:v>DPT-035</x:v>
      </x:c>
      <x:c r="B38" s="24" t="str">
        <x:v>2026-06-21T08:30</x:v>
      </x:c>
      <x:c r="C38" s="24" t="str">
        <x:v>STABLE</x:v>
      </x:c>
      <x:c r="D38" s="24" t="n">
        <x:v>-38.6</x:v>
      </x:c>
      <x:c r="E38" s="24" t="n">
        <x:v>-0.7</x:v>
      </x:c>
      <x:c r="F38" s="24" t="n">
        <x:v>-39.3</x:v>
      </x:c>
      <x:c r="G38" s="24" t="str">
        <x:v>YES</x:v>
      </x:c>
      <x:c r="H38" s="24" t="str"/>
      <x:c r="I38" s="24" t="str">
        <x:v>NORMAL</x:v>
      </x:c>
      <x:c r="J38" s="24" t="n">
        <x:v>-35</x:v>
      </x:c>
      <x:c r="K38" t="str">
        <x:f>IF(G38="NO","EXCLUDE",IF(F38&lt;=J38,"PASS","FAIL"))</x:f>
        <x:v>PASS</x:v>
      </x:c>
    </x:row>
    <x:row r="39">
      <x:c r="A39" s="24" t="str">
        <x:v>DPT-036</x:v>
      </x:c>
      <x:c r="B39" s="24" t="str">
        <x:v>2026-06-21T08:45</x:v>
      </x:c>
      <x:c r="C39" s="24" t="str">
        <x:v>STABLE</x:v>
      </x:c>
      <x:c r="D39" s="24" t="n">
        <x:v>-38.3</x:v>
      </x:c>
      <x:c r="E39" s="24" t="n">
        <x:v>-0.7</x:v>
      </x:c>
      <x:c r="F39" s="24" t="n">
        <x:v>-39</x:v>
      </x:c>
      <x:c r="G39" s="24" t="str">
        <x:v>YES</x:v>
      </x:c>
      <x:c r="H39" s="24" t="str"/>
      <x:c r="I39" s="24" t="str">
        <x:v>NORMAL</x:v>
      </x:c>
      <x:c r="J39" s="24" t="n">
        <x:v>-35</x:v>
      </x:c>
      <x:c r="K39" t="str">
        <x:f>IF(G39="NO","EXCLUDE",IF(F39&lt;=J39,"PASS","FAIL"))</x:f>
        <x:v>PASS</x:v>
      </x:c>
    </x:row>
    <x:row r="40">
      <x:c r="A40" s="24" t="str">
        <x:v>DPT-037</x:v>
      </x:c>
      <x:c r="B40" s="24" t="str">
        <x:v>2026-06-21T09:00</x:v>
      </x:c>
      <x:c r="C40" s="24" t="str">
        <x:v>REGEN_TRANSITION</x:v>
      </x:c>
      <x:c r="D40" s="24" t="n">
        <x:v>-23.7</x:v>
      </x:c>
      <x:c r="E40" s="24" t="n">
        <x:v>-0.7</x:v>
      </x:c>
      <x:c r="F40" s="24" t="n">
        <x:v>-24.4</x:v>
      </x:c>
      <x:c r="G40" s="24" t="str">
        <x:v>NO</x:v>
      </x:c>
      <x:c r="H40" s="24" t="str">
        <x:v>TOWER_SWITCH</x:v>
      </x:c>
      <x:c r="I40" s="24" t="str">
        <x:v>TRANSITION</x:v>
      </x:c>
      <x:c r="J40" s="24" t="n">
        <x:v>-35</x:v>
      </x:c>
      <x:c r="K40" t="str">
        <x:f>IF(G40="NO","EXCLUDE",IF(F40&lt;=J40,"PASS","FAIL"))</x:f>
        <x:v>EXCLUDE</x:v>
      </x:c>
    </x:row>
    <x:row r="41">
      <x:c r="A41" s="24" t="str">
        <x:v>DPT-038</x:v>
      </x:c>
      <x:c r="B41" s="24" t="str">
        <x:v>2026-06-21T09:15</x:v>
      </x:c>
      <x:c r="C41" s="24" t="str">
        <x:v>REGEN_TRANSITION</x:v>
      </x:c>
      <x:c r="D41" s="24" t="n">
        <x:v>-25.3</x:v>
      </x:c>
      <x:c r="E41" s="24" t="n">
        <x:v>-0.7</x:v>
      </x:c>
      <x:c r="F41" s="24" t="n">
        <x:v>-26</x:v>
      </x:c>
      <x:c r="G41" s="24" t="str">
        <x:v>NO</x:v>
      </x:c>
      <x:c r="H41" s="24" t="str">
        <x:v>TOWER_SWITCH</x:v>
      </x:c>
      <x:c r="I41" s="24" t="str">
        <x:v>TRANSITION</x:v>
      </x:c>
      <x:c r="J41" s="24" t="n">
        <x:v>-35</x:v>
      </x:c>
      <x:c r="K41" t="str">
        <x:f>IF(G41="NO","EXCLUDE",IF(F41&lt;=J41,"PASS","FAIL"))</x:f>
        <x:v>EXCLUDE</x:v>
      </x:c>
    </x:row>
    <x:row r="42">
      <x:c r="A42" s="24" t="str">
        <x:v>DPT-039</x:v>
      </x:c>
      <x:c r="B42" s="24" t="str">
        <x:v>2026-06-21T09:30</x:v>
      </x:c>
      <x:c r="C42" s="24" t="str">
        <x:v>REGEN_TRANSITION</x:v>
      </x:c>
      <x:c r="D42" s="24" t="n">
        <x:v>-26.9</x:v>
      </x:c>
      <x:c r="E42" s="24" t="n">
        <x:v>-0.7</x:v>
      </x:c>
      <x:c r="F42" s="24" t="n">
        <x:v>-27.6</x:v>
      </x:c>
      <x:c r="G42" s="24" t="str">
        <x:v>NO</x:v>
      </x:c>
      <x:c r="H42" s="24" t="str">
        <x:v>TOWER_SWITCH</x:v>
      </x:c>
      <x:c r="I42" s="24" t="str">
        <x:v>TRANSITION</x:v>
      </x:c>
      <x:c r="J42" s="24" t="n">
        <x:v>-35</x:v>
      </x:c>
      <x:c r="K42" t="str">
        <x:f>IF(G42="NO","EXCLUDE",IF(F42&lt;=J42,"PASS","FAIL"))</x:f>
        <x:v>EXCLUDE</x:v>
      </x:c>
    </x:row>
    <x:row r="43">
      <x:c r="A43" s="24" t="str">
        <x:v>DPT-040</x:v>
      </x:c>
      <x:c r="B43" s="24" t="str">
        <x:v>2026-06-21T09:45</x:v>
      </x:c>
      <x:c r="C43" s="24" t="str">
        <x:v>REGEN_TRANSITION</x:v>
      </x:c>
      <x:c r="D43" s="24" t="n">
        <x:v>-28.5</x:v>
      </x:c>
      <x:c r="E43" s="24" t="n">
        <x:v>-0.7</x:v>
      </x:c>
      <x:c r="F43" s="24" t="n">
        <x:v>-29.2</x:v>
      </x:c>
      <x:c r="G43" s="24" t="str">
        <x:v>NO</x:v>
      </x:c>
      <x:c r="H43" s="24" t="str">
        <x:v>TOWER_SWITCH</x:v>
      </x:c>
      <x:c r="I43" s="24" t="str">
        <x:v>TRANSITION</x:v>
      </x:c>
      <x:c r="J43" s="24" t="n">
        <x:v>-35</x:v>
      </x:c>
      <x:c r="K43" t="str">
        <x:f>IF(G43="NO","EXCLUDE",IF(F43&lt;=J43,"PASS","FAIL"))</x:f>
        <x:v>EXCLUDE</x:v>
      </x:c>
    </x:row>
    <x:row r="44">
      <x:c r="A44" s="24" t="str">
        <x:v>DPT-041</x:v>
      </x:c>
      <x:c r="B44" s="24" t="str">
        <x:v>2026-06-21T10:00</x:v>
      </x:c>
      <x:c r="C44" s="24" t="str">
        <x:v>REGEN_TRANSITION</x:v>
      </x:c>
      <x:c r="D44" s="24" t="n">
        <x:v>-17.3</x:v>
      </x:c>
      <x:c r="E44" s="24" t="n">
        <x:v>-0.7</x:v>
      </x:c>
      <x:c r="F44" s="24" t="n">
        <x:v>-18</x:v>
      </x:c>
      <x:c r="G44" s="24" t="str">
        <x:v>NO</x:v>
      </x:c>
      <x:c r="H44" s="24" t="str">
        <x:v>TOWER_SWITCH</x:v>
      </x:c>
      <x:c r="I44" s="24" t="str">
        <x:v>TRANSITION</x:v>
      </x:c>
      <x:c r="J44" s="24" t="n">
        <x:v>-35</x:v>
      </x:c>
      <x:c r="K44" t="str">
        <x:f>IF(G44="NO","EXCLUDE",IF(F44&lt;=J44,"PASS","FAIL"))</x:f>
        <x:v>EXCLUDE</x:v>
      </x:c>
    </x:row>
    <x:row r="45">
      <x:c r="A45" s="24" t="str">
        <x:v>DPT-042</x:v>
      </x:c>
      <x:c r="B45" s="24" t="str">
        <x:v>2026-06-21T10:15</x:v>
      </x:c>
      <x:c r="C45" s="24" t="str">
        <x:v>REGEN_TRANSITION</x:v>
      </x:c>
      <x:c r="D45" s="24" t="n">
        <x:v>-18.9</x:v>
      </x:c>
      <x:c r="E45" s="24" t="n">
        <x:v>-0.7</x:v>
      </x:c>
      <x:c r="F45" s="24" t="n">
        <x:v>-19.6</x:v>
      </x:c>
      <x:c r="G45" s="24" t="str">
        <x:v>NO</x:v>
      </x:c>
      <x:c r="H45" s="24" t="str">
        <x:v>TOWER_SWITCH</x:v>
      </x:c>
      <x:c r="I45" s="24" t="str">
        <x:v>TRANSITION</x:v>
      </x:c>
      <x:c r="J45" s="24" t="n">
        <x:v>-35</x:v>
      </x:c>
      <x:c r="K45" t="str">
        <x:f>IF(G45="NO","EXCLUDE",IF(F45&lt;=J45,"PASS","FAIL"))</x:f>
        <x:v>EXCLUDE</x:v>
      </x:c>
    </x:row>
    <x:row r="46">
      <x:c r="A46" s="24" t="str">
        <x:v>DPT-043</x:v>
      </x:c>
      <x:c r="B46" s="24" t="str">
        <x:v>2026-06-21T10:30</x:v>
      </x:c>
      <x:c r="C46" s="24" t="str">
        <x:v>REGEN_TRANSITION</x:v>
      </x:c>
      <x:c r="D46" s="24" t="n">
        <x:v>-20.5</x:v>
      </x:c>
      <x:c r="E46" s="24" t="n">
        <x:v>-0.7</x:v>
      </x:c>
      <x:c r="F46" s="24" t="n">
        <x:v>-21.2</x:v>
      </x:c>
      <x:c r="G46" s="24" t="str">
        <x:v>NO</x:v>
      </x:c>
      <x:c r="H46" s="24" t="str">
        <x:v>TOWER_SWITCH</x:v>
      </x:c>
      <x:c r="I46" s="24" t="str">
        <x:v>TRANSITION</x:v>
      </x:c>
      <x:c r="J46" s="24" t="n">
        <x:v>-35</x:v>
      </x:c>
      <x:c r="K46" t="str">
        <x:f>IF(G46="NO","EXCLUDE",IF(F46&lt;=J46,"PASS","FAIL"))</x:f>
        <x:v>EXCLUDE</x:v>
      </x:c>
    </x:row>
    <x:row r="47">
      <x:c r="A47" s="24" t="str">
        <x:v>DPT-044</x:v>
      </x:c>
      <x:c r="B47" s="24" t="str">
        <x:v>2026-06-21T10:45</x:v>
      </x:c>
      <x:c r="C47" s="24" t="str">
        <x:v>REGEN_TRANSITION</x:v>
      </x:c>
      <x:c r="D47" s="24" t="n">
        <x:v>-22.1</x:v>
      </x:c>
      <x:c r="E47" s="24" t="n">
        <x:v>-0.7</x:v>
      </x:c>
      <x:c r="F47" s="24" t="n">
        <x:v>-22.8</x:v>
      </x:c>
      <x:c r="G47" s="24" t="str">
        <x:v>NO</x:v>
      </x:c>
      <x:c r="H47" s="24" t="str">
        <x:v>TOWER_SWITCH</x:v>
      </x:c>
      <x:c r="I47" s="24" t="str">
        <x:v>TRANSITION</x:v>
      </x:c>
      <x:c r="J47" s="24" t="n">
        <x:v>-35</x:v>
      </x:c>
      <x:c r="K47" t="str">
        <x:f>IF(G47="NO","EXCLUDE",IF(F47&lt;=J47,"PASS","FAIL"))</x:f>
        <x:v>EXCLUDE</x:v>
      </x:c>
    </x:row>
    <x:row r="48">
      <x:c r="A48" s="24" t="str">
        <x:v>DPT-045</x:v>
      </x:c>
      <x:c r="B48" s="24" t="str">
        <x:v>2026-06-21T11:00</x:v>
      </x:c>
      <x:c r="C48" s="24" t="str">
        <x:v>STABLE</x:v>
      </x:c>
      <x:c r="D48" s="24" t="n">
        <x:v>-38</x:v>
      </x:c>
      <x:c r="E48" s="24" t="n">
        <x:v>-0.7</x:v>
      </x:c>
      <x:c r="F48" s="24" t="n">
        <x:v>-38.7</x:v>
      </x:c>
      <x:c r="G48" s="24" t="str">
        <x:v>YES</x:v>
      </x:c>
      <x:c r="H48" s="24" t="str"/>
      <x:c r="I48" s="24" t="str">
        <x:v>NORMAL</x:v>
      </x:c>
      <x:c r="J48" s="24" t="n">
        <x:v>-35</x:v>
      </x:c>
      <x:c r="K48" t="str">
        <x:f>IF(G48="NO","EXCLUDE",IF(F48&lt;=J48,"PASS","FAIL"))</x:f>
        <x:v>PASS</x:v>
      </x:c>
    </x:row>
    <x:row r="49">
      <x:c r="A49" s="24" t="str">
        <x:v>DPT-046</x:v>
      </x:c>
      <x:c r="B49" s="24" t="str">
        <x:v>2026-06-21T11:15</x:v>
      </x:c>
      <x:c r="C49" s="24" t="str">
        <x:v>STABLE</x:v>
      </x:c>
      <x:c r="D49" s="24" t="n">
        <x:v>-37.7</x:v>
      </x:c>
      <x:c r="E49" s="24" t="n">
        <x:v>-0.7</x:v>
      </x:c>
      <x:c r="F49" s="24" t="n">
        <x:v>-38.4</x:v>
      </x:c>
      <x:c r="G49" s="24" t="str">
        <x:v>YES</x:v>
      </x:c>
      <x:c r="H49" s="24" t="str"/>
      <x:c r="I49" s="24" t="str">
        <x:v>NORMAL</x:v>
      </x:c>
      <x:c r="J49" s="24" t="n">
        <x:v>-35</x:v>
      </x:c>
      <x:c r="K49" t="str">
        <x:f>IF(G49="NO","EXCLUDE",IF(F49&lt;=J49,"PASS","FAIL"))</x:f>
        <x:v>PASS</x:v>
      </x:c>
    </x:row>
    <x:row r="50">
      <x:c r="A50" s="24" t="str">
        <x:v>DPT-047</x:v>
      </x:c>
      <x:c r="B50" s="24" t="str">
        <x:v>2026-06-21T11:30</x:v>
      </x:c>
      <x:c r="C50" s="24" t="str">
        <x:v>STABLE</x:v>
      </x:c>
      <x:c r="D50" s="24" t="n">
        <x:v>-37.3</x:v>
      </x:c>
      <x:c r="E50" s="24" t="n">
        <x:v>-0.7</x:v>
      </x:c>
      <x:c r="F50" s="24" t="n">
        <x:v>-38</x:v>
      </x:c>
      <x:c r="G50" s="24" t="str">
        <x:v>YES</x:v>
      </x:c>
      <x:c r="H50" s="24" t="str"/>
      <x:c r="I50" s="24" t="str">
        <x:v>NORMAL</x:v>
      </x:c>
      <x:c r="J50" s="24" t="n">
        <x:v>-35</x:v>
      </x:c>
      <x:c r="K50" t="str">
        <x:f>IF(G50="NO","EXCLUDE",IF(F50&lt;=J50,"PASS","FAIL"))</x:f>
        <x:v>PASS</x:v>
      </x:c>
    </x:row>
    <x:row r="51">
      <x:c r="A51" s="24" t="str">
        <x:v>DPT-048</x:v>
      </x:c>
      <x:c r="B51" s="24" t="str">
        <x:v>2026-06-21T11:45</x:v>
      </x:c>
      <x:c r="C51" s="24" t="str">
        <x:v>STABLE</x:v>
      </x:c>
      <x:c r="D51" s="24" t="n">
        <x:v>-37</x:v>
      </x:c>
      <x:c r="E51" s="24" t="n">
        <x:v>-0.7</x:v>
      </x:c>
      <x:c r="F51" s="24" t="n">
        <x:v>-37.7</x:v>
      </x:c>
      <x:c r="G51" s="24" t="str">
        <x:v>YES</x:v>
      </x:c>
      <x:c r="H51" s="24" t="str"/>
      <x:c r="I51" s="24" t="str">
        <x:v>NORMAL</x:v>
      </x:c>
      <x:c r="J51" s="24" t="n">
        <x:v>-35</x:v>
      </x:c>
      <x:c r="K51" t="str">
        <x:f>IF(G51="NO","EXCLUDE",IF(F51&lt;=J51,"PASS","FAIL"))</x:f>
        <x:v>PASS</x:v>
      </x:c>
    </x:row>
    <x:row r="52">
      <x:c r="A52" s="24" t="str">
        <x:v>DPT-049</x:v>
      </x:c>
      <x:c r="B52" s="24" t="str">
        <x:v>2026-06-21T12:00</x:v>
      </x:c>
      <x:c r="C52" s="24" t="str">
        <x:v>STABLE</x:v>
      </x:c>
      <x:c r="D52" s="24" t="n">
        <x:v>-36.7</x:v>
      </x:c>
      <x:c r="E52" s="24" t="n">
        <x:v>-0.7</x:v>
      </x:c>
      <x:c r="F52" s="24" t="n">
        <x:v>-37.4</x:v>
      </x:c>
      <x:c r="G52" s="24" t="str">
        <x:v>YES</x:v>
      </x:c>
      <x:c r="H52" s="24" t="str"/>
      <x:c r="I52" s="24" t="str">
        <x:v>NORMAL</x:v>
      </x:c>
      <x:c r="J52" s="24" t="n">
        <x:v>-35</x:v>
      </x:c>
      <x:c r="K52" t="str">
        <x:f>IF(G52="NO","EXCLUDE",IF(F52&lt;=J52,"PASS","FAIL"))</x:f>
        <x:v>PASS</x:v>
      </x:c>
    </x:row>
    <x:row r="53">
      <x:c r="A53" s="24" t="str">
        <x:v>DPT-050</x:v>
      </x:c>
      <x:c r="B53" s="24" t="str">
        <x:v>2026-06-21T12:15</x:v>
      </x:c>
      <x:c r="C53" s="24" t="str">
        <x:v>STABLE</x:v>
      </x:c>
      <x:c r="D53" s="24" t="n">
        <x:v>-36.4</x:v>
      </x:c>
      <x:c r="E53" s="24" t="n">
        <x:v>-0.7</x:v>
      </x:c>
      <x:c r="F53" s="24" t="n">
        <x:v>-37.1</x:v>
      </x:c>
      <x:c r="G53" s="24" t="str">
        <x:v>YES</x:v>
      </x:c>
      <x:c r="H53" s="24" t="str"/>
      <x:c r="I53" s="24" t="str">
        <x:v>NORMAL</x:v>
      </x:c>
      <x:c r="J53" s="24" t="n">
        <x:v>-35</x:v>
      </x:c>
      <x:c r="K53" t="str">
        <x:f>IF(G53="NO","EXCLUDE",IF(F53&lt;=J53,"PASS","FAIL"))</x:f>
        <x:v>PASS</x:v>
      </x:c>
    </x:row>
    <x:row r="54">
      <x:c r="A54" s="24" t="str">
        <x:v>DPT-051</x:v>
      </x:c>
      <x:c r="B54" s="24" t="str">
        <x:v>2026-06-21T12:30</x:v>
      </x:c>
      <x:c r="C54" s="24" t="str">
        <x:v>STABLE</x:v>
      </x:c>
      <x:c r="D54" s="24" t="n">
        <x:v>-36.1</x:v>
      </x:c>
      <x:c r="E54" s="24" t="n">
        <x:v>-0.7</x:v>
      </x:c>
      <x:c r="F54" s="24" t="n">
        <x:v>-36.8</x:v>
      </x:c>
      <x:c r="G54" s="24" t="str">
        <x:v>YES</x:v>
      </x:c>
      <x:c r="H54" s="24" t="str"/>
      <x:c r="I54" s="24" t="str">
        <x:v>NORMAL</x:v>
      </x:c>
      <x:c r="J54" s="24" t="n">
        <x:v>-35</x:v>
      </x:c>
      <x:c r="K54" t="str">
        <x:f>IF(G54="NO","EXCLUDE",IF(F54&lt;=J54,"PASS","FAIL"))</x:f>
        <x:v>PASS</x:v>
      </x:c>
    </x:row>
    <x:row r="55">
      <x:c r="A55" s="24" t="str">
        <x:v>DPT-052</x:v>
      </x:c>
      <x:c r="B55" s="24" t="str">
        <x:v>2026-06-21T12:45</x:v>
      </x:c>
      <x:c r="C55" s="24" t="str">
        <x:v>STABLE</x:v>
      </x:c>
      <x:c r="D55" s="24" t="n">
        <x:v>-35.8</x:v>
      </x:c>
      <x:c r="E55" s="24" t="n">
        <x:v>-0.7</x:v>
      </x:c>
      <x:c r="F55" s="24" t="n">
        <x:v>-36.5</x:v>
      </x:c>
      <x:c r="G55" s="24" t="str">
        <x:v>YES</x:v>
      </x:c>
      <x:c r="H55" s="24" t="str"/>
      <x:c r="I55" s="24" t="str">
        <x:v>NORMAL</x:v>
      </x:c>
      <x:c r="J55" s="24" t="n">
        <x:v>-35</x:v>
      </x:c>
      <x:c r="K55" t="str">
        <x:f>IF(G55="NO","EXCLUDE",IF(F55&lt;=J55,"PASS","FAIL"))</x:f>
        <x:v>PASS</x:v>
      </x:c>
    </x:row>
    <x:row r="56">
      <x:c r="A56" s="24" t="str">
        <x:v>DPT-053</x:v>
      </x:c>
      <x:c r="B56" s="24" t="str">
        <x:v>2026-06-21T13:00</x:v>
      </x:c>
      <x:c r="C56" s="24" t="str">
        <x:v>STABLE</x:v>
      </x:c>
      <x:c r="D56" s="24" t="n">
        <x:v>-45.2</x:v>
      </x:c>
      <x:c r="E56" s="24" t="n">
        <x:v>-0.7</x:v>
      </x:c>
      <x:c r="F56" s="24" t="n">
        <x:v>-45.9</x:v>
      </x:c>
      <x:c r="G56" s="24" t="str">
        <x:v>YES</x:v>
      </x:c>
      <x:c r="H56" s="24" t="str"/>
      <x:c r="I56" s="24" t="str">
        <x:v>NORMAL</x:v>
      </x:c>
      <x:c r="J56" s="24" t="n">
        <x:v>-35</x:v>
      </x:c>
      <x:c r="K56" t="str">
        <x:f>IF(G56="NO","EXCLUDE",IF(F56&lt;=J56,"PASS","FAIL"))</x:f>
        <x:v>PASS</x:v>
      </x:c>
    </x:row>
    <x:row r="57">
      <x:c r="A57" s="24" t="str">
        <x:v>DPT-054</x:v>
      </x:c>
      <x:c r="B57" s="24" t="str">
        <x:v>2026-06-21T13:15</x:v>
      </x:c>
      <x:c r="C57" s="24" t="str">
        <x:v>STABLE</x:v>
      </x:c>
      <x:c r="D57" s="24" t="n">
        <x:v>-44.9</x:v>
      </x:c>
      <x:c r="E57" s="24" t="n">
        <x:v>-0.7</x:v>
      </x:c>
      <x:c r="F57" s="24" t="n">
        <x:v>-45.6</x:v>
      </x:c>
      <x:c r="G57" s="24" t="str">
        <x:v>YES</x:v>
      </x:c>
      <x:c r="H57" s="24" t="str"/>
      <x:c r="I57" s="24" t="str">
        <x:v>NORMAL</x:v>
      </x:c>
      <x:c r="J57" s="24" t="n">
        <x:v>-35</x:v>
      </x:c>
      <x:c r="K57" t="str">
        <x:f>IF(G57="NO","EXCLUDE",IF(F57&lt;=J57,"PASS","FAIL"))</x:f>
        <x:v>PASS</x:v>
      </x:c>
    </x:row>
    <x:row r="58">
      <x:c r="A58" s="24" t="str">
        <x:v>DPT-055</x:v>
      </x:c>
      <x:c r="B58" s="24" t="str">
        <x:v>2026-06-21T13:30</x:v>
      </x:c>
      <x:c r="C58" s="24" t="str">
        <x:v>STABLE</x:v>
      </x:c>
      <x:c r="D58" s="24" t="n">
        <x:v>-44.7</x:v>
      </x:c>
      <x:c r="E58" s="24" t="n">
        <x:v>-0.7</x:v>
      </x:c>
      <x:c r="F58" s="24" t="n">
        <x:v>-45.4</x:v>
      </x:c>
      <x:c r="G58" s="24" t="str">
        <x:v>YES</x:v>
      </x:c>
      <x:c r="H58" s="24" t="str"/>
      <x:c r="I58" s="24" t="str">
        <x:v>NORMAL</x:v>
      </x:c>
      <x:c r="J58" s="24" t="n">
        <x:v>-35</x:v>
      </x:c>
      <x:c r="K58" t="str">
        <x:f>IF(G58="NO","EXCLUDE",IF(F58&lt;=J58,"PASS","FAIL"))</x:f>
        <x:v>PASS</x:v>
      </x:c>
    </x:row>
    <x:row r="59">
      <x:c r="A59" s="24" t="str">
        <x:v>DPT-056</x:v>
      </x:c>
      <x:c r="B59" s="24" t="str">
        <x:v>2026-06-21T13:45</x:v>
      </x:c>
      <x:c r="C59" s="24" t="str">
        <x:v>STABLE</x:v>
      </x:c>
      <x:c r="D59" s="24" t="n">
        <x:v>-44.5</x:v>
      </x:c>
      <x:c r="E59" s="24" t="n">
        <x:v>-0.7</x:v>
      </x:c>
      <x:c r="F59" s="24" t="n">
        <x:v>-45.2</x:v>
      </x:c>
      <x:c r="G59" s="24" t="str">
        <x:v>YES</x:v>
      </x:c>
      <x:c r="H59" s="24" t="str"/>
      <x:c r="I59" s="24" t="str">
        <x:v>NORMAL</x:v>
      </x:c>
      <x:c r="J59" s="24" t="n">
        <x:v>-35</x:v>
      </x:c>
      <x:c r="K59" t="str">
        <x:f>IF(G59="NO","EXCLUDE",IF(F59&lt;=J59,"PASS","FAIL"))</x:f>
        <x:v>PASS</x:v>
      </x:c>
    </x:row>
    <x:row r="60">
      <x:c r="A60" s="24" t="str">
        <x:v>DPT-057</x:v>
      </x:c>
      <x:c r="B60" s="24" t="str">
        <x:v>2026-06-21T14:00</x:v>
      </x:c>
      <x:c r="C60" s="24" t="str">
        <x:v>STABLE</x:v>
      </x:c>
      <x:c r="D60" s="24" t="n">
        <x:v>-44.2</x:v>
      </x:c>
      <x:c r="E60" s="24" t="n">
        <x:v>-0.7</x:v>
      </x:c>
      <x:c r="F60" s="24" t="n">
        <x:v>-44.9</x:v>
      </x:c>
      <x:c r="G60" s="24" t="str">
        <x:v>YES</x:v>
      </x:c>
      <x:c r="H60" s="24" t="str"/>
      <x:c r="I60" s="24" t="str">
        <x:v>NORMAL</x:v>
      </x:c>
      <x:c r="J60" s="24" t="n">
        <x:v>-35</x:v>
      </x:c>
      <x:c r="K60" t="str">
        <x:f>IF(G60="NO","EXCLUDE",IF(F60&lt;=J60,"PASS","FAIL"))</x:f>
        <x:v>PASS</x:v>
      </x:c>
    </x:row>
    <x:row r="61">
      <x:c r="A61" s="24" t="str">
        <x:v>DPT-058</x:v>
      </x:c>
      <x:c r="B61" s="24" t="str">
        <x:v>2026-06-21T14:15</x:v>
      </x:c>
      <x:c r="C61" s="24" t="str">
        <x:v>STABLE</x:v>
      </x:c>
      <x:c r="D61" s="24" t="n">
        <x:v>-44</x:v>
      </x:c>
      <x:c r="E61" s="24" t="n">
        <x:v>-0.7</x:v>
      </x:c>
      <x:c r="F61" s="24" t="n">
        <x:v>-44.7</x:v>
      </x:c>
      <x:c r="G61" s="24" t="str">
        <x:v>YES</x:v>
      </x:c>
      <x:c r="H61" s="24" t="str"/>
      <x:c r="I61" s="24" t="str">
        <x:v>NORMAL</x:v>
      </x:c>
      <x:c r="J61" s="24" t="n">
        <x:v>-35</x:v>
      </x:c>
      <x:c r="K61" t="str">
        <x:f>IF(G61="NO","EXCLUDE",IF(F61&lt;=J61,"PASS","FAIL"))</x:f>
        <x:v>PASS</x:v>
      </x:c>
    </x:row>
    <x:row r="62">
      <x:c r="A62" s="24" t="str">
        <x:v>DPT-059</x:v>
      </x:c>
      <x:c r="B62" s="24" t="str">
        <x:v>2026-06-21T14:30</x:v>
      </x:c>
      <x:c r="C62" s="24" t="str">
        <x:v>STABLE</x:v>
      </x:c>
      <x:c r="D62" s="24" t="n">
        <x:v>-43.8</x:v>
      </x:c>
      <x:c r="E62" s="24" t="n">
        <x:v>-0.7</x:v>
      </x:c>
      <x:c r="F62" s="24" t="n">
        <x:v>-44.5</x:v>
      </x:c>
      <x:c r="G62" s="24" t="str">
        <x:v>YES</x:v>
      </x:c>
      <x:c r="H62" s="24" t="str"/>
      <x:c r="I62" s="24" t="str">
        <x:v>NORMAL</x:v>
      </x:c>
      <x:c r="J62" s="24" t="n">
        <x:v>-35</x:v>
      </x:c>
      <x:c r="K62" t="str">
        <x:f>IF(G62="NO","EXCLUDE",IF(F62&lt;=J62,"PASS","FAIL"))</x:f>
        <x:v>PASS</x:v>
      </x:c>
    </x:row>
    <x:row r="63">
      <x:c r="A63" s="24" t="str">
        <x:v>DPT-060</x:v>
      </x:c>
      <x:c r="B63" s="24" t="str">
        <x:v>2026-06-21T14:45</x:v>
      </x:c>
      <x:c r="C63" s="24" t="str">
        <x:v>STABLE</x:v>
      </x:c>
      <x:c r="D63" s="24" t="n">
        <x:v>-43.5</x:v>
      </x:c>
      <x:c r="E63" s="24" t="n">
        <x:v>-0.7</x:v>
      </x:c>
      <x:c r="F63" s="24" t="n">
        <x:v>-44.2</x:v>
      </x:c>
      <x:c r="G63" s="24" t="str">
        <x:v>YES</x:v>
      </x:c>
      <x:c r="H63" s="24" t="str"/>
      <x:c r="I63" s="24" t="str">
        <x:v>NORMAL</x:v>
      </x:c>
      <x:c r="J63" s="24" t="n">
        <x:v>-35</x:v>
      </x:c>
      <x:c r="K63" t="str">
        <x:f>IF(G63="NO","EXCLUDE",IF(F63&lt;=J63,"PASS","FAIL"))</x:f>
        <x:v>PASS</x:v>
      </x:c>
    </x:row>
    <x:row r="64">
      <x:c r="A64" s="24" t="str">
        <x:v>DPT-061</x:v>
      </x:c>
      <x:c r="B64" s="24" t="str">
        <x:v>2026-06-21T15:00</x:v>
      </x:c>
      <x:c r="C64" s="24" t="str">
        <x:v>STABLE</x:v>
      </x:c>
      <x:c r="D64" s="24" t="n">
        <x:v>-43.3</x:v>
      </x:c>
      <x:c r="E64" s="24" t="n">
        <x:v>-0.7</x:v>
      </x:c>
      <x:c r="F64" s="24" t="n">
        <x:v>-44</x:v>
      </x:c>
      <x:c r="G64" s="24" t="str">
        <x:v>YES</x:v>
      </x:c>
      <x:c r="H64" s="24" t="str"/>
      <x:c r="I64" s="24" t="str">
        <x:v>NORMAL</x:v>
      </x:c>
      <x:c r="J64" s="24" t="n">
        <x:v>-35</x:v>
      </x:c>
      <x:c r="K64" t="str">
        <x:f>IF(G64="NO","EXCLUDE",IF(F64&lt;=J64,"PASS","FAIL"))</x:f>
        <x:v>PASS</x:v>
      </x:c>
    </x:row>
    <x:row r="65">
      <x:c r="A65" s="24" t="str">
        <x:v>DPT-062</x:v>
      </x:c>
      <x:c r="B65" s="24" t="str">
        <x:v>2026-06-21T15:15</x:v>
      </x:c>
      <x:c r="C65" s="24" t="str">
        <x:v>STABLE</x:v>
      </x:c>
      <x:c r="D65" s="24" t="n">
        <x:v>-43.1</x:v>
      </x:c>
      <x:c r="E65" s="24" t="n">
        <x:v>-0.7</x:v>
      </x:c>
      <x:c r="F65" s="24" t="n">
        <x:v>-43.8</x:v>
      </x:c>
      <x:c r="G65" s="24" t="str">
        <x:v>YES</x:v>
      </x:c>
      <x:c r="H65" s="24" t="str"/>
      <x:c r="I65" s="24" t="str">
        <x:v>NORMAL</x:v>
      </x:c>
      <x:c r="J65" s="24" t="n">
        <x:v>-35</x:v>
      </x:c>
      <x:c r="K65" t="str">
        <x:f>IF(G65="NO","EXCLUDE",IF(F65&lt;=J65,"PASS","FAIL"))</x:f>
        <x:v>PASS</x:v>
      </x:c>
    </x:row>
    <x:row r="66">
      <x:c r="A66" s="24" t="str">
        <x:v>DPT-063</x:v>
      </x:c>
      <x:c r="B66" s="24" t="str">
        <x:v>2026-06-21T15:30</x:v>
      </x:c>
      <x:c r="C66" s="24" t="str">
        <x:v>STABLE</x:v>
      </x:c>
      <x:c r="D66" s="24" t="n">
        <x:v>-42.8</x:v>
      </x:c>
      <x:c r="E66" s="24" t="n">
        <x:v>-0.7</x:v>
      </x:c>
      <x:c r="F66" s="24" t="n">
        <x:v>-43.5</x:v>
      </x:c>
      <x:c r="G66" s="24" t="str">
        <x:v>YES</x:v>
      </x:c>
      <x:c r="H66" s="24" t="str"/>
      <x:c r="I66" s="24" t="str">
        <x:v>NORMAL</x:v>
      </x:c>
      <x:c r="J66" s="24" t="n">
        <x:v>-35</x:v>
      </x:c>
      <x:c r="K66" t="str">
        <x:f>IF(G66="NO","EXCLUDE",IF(F66&lt;=J66,"PASS","FAIL"))</x:f>
        <x:v>PASS</x:v>
      </x:c>
    </x:row>
    <x:row r="67">
      <x:c r="A67" s="24" t="str">
        <x:v>DPT-064</x:v>
      </x:c>
      <x:c r="B67" s="24" t="str">
        <x:v>2026-06-21T15:45</x:v>
      </x:c>
      <x:c r="C67" s="24" t="str">
        <x:v>STABLE</x:v>
      </x:c>
      <x:c r="D67" s="24" t="n">
        <x:v>-42.6</x:v>
      </x:c>
      <x:c r="E67" s="24" t="n">
        <x:v>-0.7</x:v>
      </x:c>
      <x:c r="F67" s="24" t="n">
        <x:v>-43.3</x:v>
      </x:c>
      <x:c r="G67" s="24" t="str">
        <x:v>YES</x:v>
      </x:c>
      <x:c r="H67" s="24" t="str"/>
      <x:c r="I67" s="24" t="str">
        <x:v>NORMAL</x:v>
      </x:c>
      <x:c r="J67" s="24" t="n">
        <x:v>-35</x:v>
      </x:c>
      <x:c r="K67" t="str">
        <x:f>IF(G67="NO","EXCLUDE",IF(F67&lt;=J67,"PASS","FAIL"))</x:f>
        <x:v>PASS</x:v>
      </x:c>
    </x:row>
    <x:row r="68">
      <x:c r="A68" s="24" t="str">
        <x:v>DPT-065</x:v>
      </x:c>
      <x:c r="B68" s="24" t="str">
        <x:v>2026-06-21T16:00</x:v>
      </x:c>
      <x:c r="C68" s="24" t="str">
        <x:v>STABLE</x:v>
      </x:c>
      <x:c r="D68" s="24" t="n">
        <x:v>-42.4</x:v>
      </x:c>
      <x:c r="E68" s="24" t="n">
        <x:v>-0.7</x:v>
      </x:c>
      <x:c r="F68" s="24" t="n">
        <x:v>-43.1</x:v>
      </x:c>
      <x:c r="G68" s="24" t="str">
        <x:v>YES</x:v>
      </x:c>
      <x:c r="H68" s="24" t="str"/>
      <x:c r="I68" s="24" t="str">
        <x:v>NORMAL</x:v>
      </x:c>
      <x:c r="J68" s="24" t="n">
        <x:v>-35</x:v>
      </x:c>
      <x:c r="K68" t="str">
        <x:f>IF(G68="NO","EXCLUDE",IF(F68&lt;=J68,"PASS","FAIL"))</x:f>
        <x:v>PASS</x:v>
      </x:c>
    </x:row>
    <x:row r="69">
      <x:c r="A69" s="24" t="str">
        <x:v>DPT-066</x:v>
      </x:c>
      <x:c r="B69" s="24" t="str">
        <x:v>2026-06-21T16:15</x:v>
      </x:c>
      <x:c r="C69" s="24" t="str">
        <x:v>STABLE</x:v>
      </x:c>
      <x:c r="D69" s="24" t="n">
        <x:v>-42.1</x:v>
      </x:c>
      <x:c r="E69" s="24" t="n">
        <x:v>-0.7</x:v>
      </x:c>
      <x:c r="F69" s="24" t="n">
        <x:v>-42.8</x:v>
      </x:c>
      <x:c r="G69" s="24" t="str">
        <x:v>YES</x:v>
      </x:c>
      <x:c r="H69" s="24" t="str"/>
      <x:c r="I69" s="24" t="str">
        <x:v>NORMAL</x:v>
      </x:c>
      <x:c r="J69" s="24" t="n">
        <x:v>-35</x:v>
      </x:c>
      <x:c r="K69" t="str">
        <x:f>IF(G69="NO","EXCLUDE",IF(F69&lt;=J69,"PASS","FAIL"))</x:f>
        <x:v>PASS</x:v>
      </x:c>
    </x:row>
    <x:row r="70">
      <x:c r="A70" s="24" t="str">
        <x:v>DPT-067</x:v>
      </x:c>
      <x:c r="B70" s="24" t="str">
        <x:v>2026-06-21T16:30</x:v>
      </x:c>
      <x:c r="C70" s="24" t="str">
        <x:v>STABLE</x:v>
      </x:c>
      <x:c r="D70" s="24" t="n">
        <x:v>-41.9</x:v>
      </x:c>
      <x:c r="E70" s="24" t="n">
        <x:v>-0.7</x:v>
      </x:c>
      <x:c r="F70" s="24" t="n">
        <x:v>-42.6</x:v>
      </x:c>
      <x:c r="G70" s="24" t="str">
        <x:v>YES</x:v>
      </x:c>
      <x:c r="H70" s="24" t="str"/>
      <x:c r="I70" s="24" t="str">
        <x:v>NORMAL</x:v>
      </x:c>
      <x:c r="J70" s="24" t="n">
        <x:v>-35</x:v>
      </x:c>
      <x:c r="K70" t="str">
        <x:f>IF(G70="NO","EXCLUDE",IF(F70&lt;=J70,"PASS","FAIL"))</x:f>
        <x:v>PASS</x:v>
      </x:c>
    </x:row>
    <x:row r="71">
      <x:c r="A71" s="24" t="str">
        <x:v>DPT-068</x:v>
      </x:c>
      <x:c r="B71" s="24" t="str">
        <x:v>2026-06-21T16:45</x:v>
      </x:c>
      <x:c r="C71" s="24" t="str">
        <x:v>STABLE</x:v>
      </x:c>
      <x:c r="D71" s="24" t="n">
        <x:v>-41.7</x:v>
      </x:c>
      <x:c r="E71" s="24" t="n">
        <x:v>-0.7</x:v>
      </x:c>
      <x:c r="F71" s="24" t="n">
        <x:v>-42.4</x:v>
      </x:c>
      <x:c r="G71" s="24" t="str">
        <x:v>YES</x:v>
      </x:c>
      <x:c r="H71" s="24" t="str"/>
      <x:c r="I71" s="24" t="str">
        <x:v>NORMAL</x:v>
      </x:c>
      <x:c r="J71" s="24" t="n">
        <x:v>-35</x:v>
      </x:c>
      <x:c r="K71" t="str">
        <x:f>IF(G71="NO","EXCLUDE",IF(F71&lt;=J71,"PASS","FAIL"))</x:f>
        <x:v>PASS</x:v>
      </x:c>
    </x:row>
    <x:row r="72">
      <x:c r="A72" s="24" t="str">
        <x:v>DPT-069</x:v>
      </x:c>
      <x:c r="B72" s="24" t="str">
        <x:v>2026-06-21T17:00</x:v>
      </x:c>
      <x:c r="C72" s="24" t="str">
        <x:v>STABLE</x:v>
      </x:c>
      <x:c r="D72" s="24" t="n">
        <x:v>-41.4</x:v>
      </x:c>
      <x:c r="E72" s="24" t="n">
        <x:v>-0.7</x:v>
      </x:c>
      <x:c r="F72" s="24" t="n">
        <x:v>-42.1</x:v>
      </x:c>
      <x:c r="G72" s="24" t="str">
        <x:v>YES</x:v>
      </x:c>
      <x:c r="H72" s="24" t="str"/>
      <x:c r="I72" s="24" t="str">
        <x:v>NORMAL</x:v>
      </x:c>
      <x:c r="J72" s="24" t="n">
        <x:v>-35</x:v>
      </x:c>
      <x:c r="K72" t="str">
        <x:f>IF(G72="NO","EXCLUDE",IF(F72&lt;=J72,"PASS","FAIL"))</x:f>
        <x:v>PASS</x:v>
      </x:c>
    </x:row>
    <x:row r="73">
      <x:c r="A73" s="24" t="str">
        <x:v>DPT-070</x:v>
      </x:c>
      <x:c r="B73" s="24" t="str">
        <x:v>2026-06-21T17:15</x:v>
      </x:c>
      <x:c r="C73" s="24" t="str">
        <x:v>STABLE</x:v>
      </x:c>
      <x:c r="D73" s="24" t="n">
        <x:v>-41.1</x:v>
      </x:c>
      <x:c r="E73" s="24" t="n">
        <x:v>-0.7</x:v>
      </x:c>
      <x:c r="F73" s="24" t="n">
        <x:v>-41.8</x:v>
      </x:c>
      <x:c r="G73" s="24" t="str">
        <x:v>YES</x:v>
      </x:c>
      <x:c r="H73" s="24" t="str"/>
      <x:c r="I73" s="24" t="str">
        <x:v>NORMAL</x:v>
      </x:c>
      <x:c r="J73" s="24" t="n">
        <x:v>-35</x:v>
      </x:c>
      <x:c r="K73" t="str">
        <x:f>IF(G73="NO","EXCLUDE",IF(F73&lt;=J73,"PASS","FAIL"))</x:f>
        <x:v>PASS</x:v>
      </x:c>
    </x:row>
    <x:row r="74">
      <x:c r="A74" s="24" t="str">
        <x:v>DPT-071</x:v>
      </x:c>
      <x:c r="B74" s="24" t="str">
        <x:v>2026-06-21T17:30</x:v>
      </x:c>
      <x:c r="C74" s="24" t="str">
        <x:v>STABLE</x:v>
      </x:c>
      <x:c r="D74" s="24" t="n">
        <x:v>-40.9</x:v>
      </x:c>
      <x:c r="E74" s="24" t="n">
        <x:v>-0.7</x:v>
      </x:c>
      <x:c r="F74" s="24" t="n">
        <x:v>-41.6</x:v>
      </x:c>
      <x:c r="G74" s="24" t="str">
        <x:v>YES</x:v>
      </x:c>
      <x:c r="H74" s="24" t="str"/>
      <x:c r="I74" s="24" t="str">
        <x:v>NORMAL</x:v>
      </x:c>
      <x:c r="J74" s="24" t="n">
        <x:v>-35</x:v>
      </x:c>
      <x:c r="K74" t="str">
        <x:f>IF(G74="NO","EXCLUDE",IF(F74&lt;=J74,"PASS","FAIL"))</x:f>
        <x:v>PASS</x:v>
      </x:c>
    </x:row>
    <x:row r="75">
      <x:c r="A75" s="24" t="str">
        <x:v>DPT-072</x:v>
      </x:c>
      <x:c r="B75" s="24" t="str">
        <x:v>2026-06-21T17:45</x:v>
      </x:c>
      <x:c r="C75" s="24" t="str">
        <x:v>STABLE</x:v>
      </x:c>
      <x:c r="D75" s="24" t="n">
        <x:v>-40.6</x:v>
      </x:c>
      <x:c r="E75" s="24" t="n">
        <x:v>-0.7</x:v>
      </x:c>
      <x:c r="F75" s="24" t="n">
        <x:v>-41.3</x:v>
      </x:c>
      <x:c r="G75" s="24" t="str">
        <x:v>YES</x:v>
      </x:c>
      <x:c r="H75" s="24" t="str"/>
      <x:c r="I75" s="24" t="str">
        <x:v>NORMAL</x:v>
      </x:c>
      <x:c r="J75" s="24" t="n">
        <x:v>-35</x:v>
      </x:c>
      <x:c r="K75" t="str">
        <x:f>IF(G75="NO","EXCLUDE",IF(F75&lt;=J75,"PASS","FAIL"))</x:f>
        <x:v>PASS</x:v>
      </x:c>
    </x:row>
    <x:row r="76">
      <x:c r="A76" s="24" t="str">
        <x:v>DPT-073</x:v>
      </x:c>
      <x:c r="B76" s="24" t="str">
        <x:v>2026-06-21T18:00</x:v>
      </x:c>
      <x:c r="C76" s="24" t="str">
        <x:v>REGEN_TRANSITION</x:v>
      </x:c>
      <x:c r="D76" s="24" t="n">
        <x:v>-17.3</x:v>
      </x:c>
      <x:c r="E76" s="24" t="n">
        <x:v>-0.7</x:v>
      </x:c>
      <x:c r="F76" s="24" t="n">
        <x:v>-18</x:v>
      </x:c>
      <x:c r="G76" s="24" t="str">
        <x:v>NO</x:v>
      </x:c>
      <x:c r="H76" s="24" t="str">
        <x:v>TOWER_SWITCH</x:v>
      </x:c>
      <x:c r="I76" s="24" t="str">
        <x:v>TRANSITION</x:v>
      </x:c>
      <x:c r="J76" s="24" t="n">
        <x:v>-35</x:v>
      </x:c>
      <x:c r="K76" t="str">
        <x:f>IF(G76="NO","EXCLUDE",IF(F76&lt;=J76,"PASS","FAIL"))</x:f>
        <x:v>EXCLUDE</x:v>
      </x:c>
    </x:row>
    <x:row r="77">
      <x:c r="A77" s="24" t="str">
        <x:v>DPT-074</x:v>
      </x:c>
      <x:c r="B77" s="24" t="str">
        <x:v>2026-06-21T18:15</x:v>
      </x:c>
      <x:c r="C77" s="24" t="str">
        <x:v>REGEN_TRANSITION</x:v>
      </x:c>
      <x:c r="D77" s="24" t="n">
        <x:v>-18.9</x:v>
      </x:c>
      <x:c r="E77" s="24" t="n">
        <x:v>-0.7</x:v>
      </x:c>
      <x:c r="F77" s="24" t="n">
        <x:v>-19.6</x:v>
      </x:c>
      <x:c r="G77" s="24" t="str">
        <x:v>NO</x:v>
      </x:c>
      <x:c r="H77" s="24" t="str">
        <x:v>TOWER_SWITCH</x:v>
      </x:c>
      <x:c r="I77" s="24" t="str">
        <x:v>TRANSITION</x:v>
      </x:c>
      <x:c r="J77" s="24" t="n">
        <x:v>-35</x:v>
      </x:c>
      <x:c r="K77" t="str">
        <x:f>IF(G77="NO","EXCLUDE",IF(F77&lt;=J77,"PASS","FAIL"))</x:f>
        <x:v>EXCLUDE</x:v>
      </x:c>
    </x:row>
    <x:row r="78">
      <x:c r="A78" s="24" t="str">
        <x:v>DPT-075</x:v>
      </x:c>
      <x:c r="B78" s="24" t="str">
        <x:v>2026-06-21T18:30</x:v>
      </x:c>
      <x:c r="C78" s="24" t="str">
        <x:v>REGEN_TRANSITION</x:v>
      </x:c>
      <x:c r="D78" s="24" t="n">
        <x:v>-20.5</x:v>
      </x:c>
      <x:c r="E78" s="24" t="n">
        <x:v>-0.7</x:v>
      </x:c>
      <x:c r="F78" s="24" t="n">
        <x:v>-21.2</x:v>
      </x:c>
      <x:c r="G78" s="24" t="str">
        <x:v>NO</x:v>
      </x:c>
      <x:c r="H78" s="24" t="str">
        <x:v>TOWER_SWITCH</x:v>
      </x:c>
      <x:c r="I78" s="24" t="str">
        <x:v>TRANSITION</x:v>
      </x:c>
      <x:c r="J78" s="24" t="n">
        <x:v>-35</x:v>
      </x:c>
      <x:c r="K78" t="str">
        <x:f>IF(G78="NO","EXCLUDE",IF(F78&lt;=J78,"PASS","FAIL"))</x:f>
        <x:v>EXCLUDE</x:v>
      </x:c>
    </x:row>
    <x:row r="79">
      <x:c r="A79" s="24" t="str">
        <x:v>DPT-076</x:v>
      </x:c>
      <x:c r="B79" s="24" t="str">
        <x:v>2026-06-21T18:45</x:v>
      </x:c>
      <x:c r="C79" s="24" t="str">
        <x:v>REGEN_TRANSITION</x:v>
      </x:c>
      <x:c r="D79" s="24" t="n">
        <x:v>-22.1</x:v>
      </x:c>
      <x:c r="E79" s="24" t="n">
        <x:v>-0.7</x:v>
      </x:c>
      <x:c r="F79" s="24" t="n">
        <x:v>-22.8</x:v>
      </x:c>
      <x:c r="G79" s="24" t="str">
        <x:v>NO</x:v>
      </x:c>
      <x:c r="H79" s="24" t="str">
        <x:v>TOWER_SWITCH</x:v>
      </x:c>
      <x:c r="I79" s="24" t="str">
        <x:v>TRANSITION</x:v>
      </x:c>
      <x:c r="J79" s="24" t="n">
        <x:v>-35</x:v>
      </x:c>
      <x:c r="K79" t="str">
        <x:f>IF(G79="NO","EXCLUDE",IF(F79&lt;=J79,"PASS","FAIL"))</x:f>
        <x:v>EXCLUDE</x:v>
      </x:c>
    </x:row>
    <x:row r="80">
      <x:c r="A80" s="24" t="str">
        <x:v>DPT-077</x:v>
      </x:c>
      <x:c r="B80" s="24" t="str">
        <x:v>2026-06-21T19:00</x:v>
      </x:c>
      <x:c r="C80" s="24" t="str">
        <x:v>REGEN_TRANSITION</x:v>
      </x:c>
      <x:c r="D80" s="24" t="n">
        <x:v>-23.7</x:v>
      </x:c>
      <x:c r="E80" s="24" t="n">
        <x:v>-0.7</x:v>
      </x:c>
      <x:c r="F80" s="24" t="n">
        <x:v>-24.4</x:v>
      </x:c>
      <x:c r="G80" s="24" t="str">
        <x:v>NO</x:v>
      </x:c>
      <x:c r="H80" s="24" t="str">
        <x:v>TOWER_SWITCH</x:v>
      </x:c>
      <x:c r="I80" s="24" t="str">
        <x:v>TRANSITION</x:v>
      </x:c>
      <x:c r="J80" s="24" t="n">
        <x:v>-35</x:v>
      </x:c>
      <x:c r="K80" t="str">
        <x:f>IF(G80="NO","EXCLUDE",IF(F80&lt;=J80,"PASS","FAIL"))</x:f>
        <x:v>EXCLUDE</x:v>
      </x:c>
    </x:row>
    <x:row r="81">
      <x:c r="A81" s="24" t="str">
        <x:v>DPT-078</x:v>
      </x:c>
      <x:c r="B81" s="24" t="str">
        <x:v>2026-06-21T19:15</x:v>
      </x:c>
      <x:c r="C81" s="24" t="str">
        <x:v>REGEN_TRANSITION</x:v>
      </x:c>
      <x:c r="D81" s="24" t="n">
        <x:v>-25.3</x:v>
      </x:c>
      <x:c r="E81" s="24" t="n">
        <x:v>-0.7</x:v>
      </x:c>
      <x:c r="F81" s="24" t="n">
        <x:v>-26</x:v>
      </x:c>
      <x:c r="G81" s="24" t="str">
        <x:v>NO</x:v>
      </x:c>
      <x:c r="H81" s="24" t="str">
        <x:v>TOWER_SWITCH</x:v>
      </x:c>
      <x:c r="I81" s="24" t="str">
        <x:v>TRANSITION</x:v>
      </x:c>
      <x:c r="J81" s="24" t="n">
        <x:v>-35</x:v>
      </x:c>
      <x:c r="K81" t="str">
        <x:f>IF(G81="NO","EXCLUDE",IF(F81&lt;=J81,"PASS","FAIL"))</x:f>
        <x:v>EXCLUDE</x:v>
      </x:c>
    </x:row>
    <x:row r="82">
      <x:c r="A82" s="24" t="str">
        <x:v>DPT-079</x:v>
      </x:c>
      <x:c r="B82" s="24" t="str">
        <x:v>2026-06-21T19:30</x:v>
      </x:c>
      <x:c r="C82" s="24" t="str">
        <x:v>REGEN_TRANSITION</x:v>
      </x:c>
      <x:c r="D82" s="24" t="n">
        <x:v>-26.9</x:v>
      </x:c>
      <x:c r="E82" s="24" t="n">
        <x:v>-0.7</x:v>
      </x:c>
      <x:c r="F82" s="24" t="n">
        <x:v>-27.6</x:v>
      </x:c>
      <x:c r="G82" s="24" t="str">
        <x:v>NO</x:v>
      </x:c>
      <x:c r="H82" s="24" t="str">
        <x:v>TOWER_SWITCH</x:v>
      </x:c>
      <x:c r="I82" s="24" t="str">
        <x:v>TRANSITION</x:v>
      </x:c>
      <x:c r="J82" s="24" t="n">
        <x:v>-35</x:v>
      </x:c>
      <x:c r="K82" t="str">
        <x:f>IF(G82="NO","EXCLUDE",IF(F82&lt;=J82,"PASS","FAIL"))</x:f>
        <x:v>EXCLUDE</x:v>
      </x:c>
    </x:row>
    <x:row r="83">
      <x:c r="A83" s="24" t="str">
        <x:v>DPT-080</x:v>
      </x:c>
      <x:c r="B83" s="24" t="str">
        <x:v>2026-06-21T19:45</x:v>
      </x:c>
      <x:c r="C83" s="24" t="str">
        <x:v>REGEN_TRANSITION</x:v>
      </x:c>
      <x:c r="D83" s="24" t="n">
        <x:v>-28.5</x:v>
      </x:c>
      <x:c r="E83" s="24" t="n">
        <x:v>-0.7</x:v>
      </x:c>
      <x:c r="F83" s="24" t="n">
        <x:v>-29.2</x:v>
      </x:c>
      <x:c r="G83" s="24" t="str">
        <x:v>NO</x:v>
      </x:c>
      <x:c r="H83" s="24" t="str">
        <x:v>TOWER_SWITCH</x:v>
      </x:c>
      <x:c r="I83" s="24" t="str">
        <x:v>TRANSITION</x:v>
      </x:c>
      <x:c r="J83" s="24" t="n">
        <x:v>-35</x:v>
      </x:c>
      <x:c r="K83" t="str">
        <x:f>IF(G83="NO","EXCLUDE",IF(F83&lt;=J83,"PASS","FAIL"))</x:f>
        <x:v>EXCLUDE</x:v>
      </x:c>
    </x:row>
    <x:row r="84">
      <x:c r="A84" s="24" t="str">
        <x:v>DPT-081</x:v>
      </x:c>
      <x:c r="B84" s="24" t="str">
        <x:v>2026-06-21T20:00</x:v>
      </x:c>
      <x:c r="C84" s="24" t="str">
        <x:v>STABLE</x:v>
      </x:c>
      <x:c r="D84" s="24" t="n">
        <x:v>-40.3</x:v>
      </x:c>
      <x:c r="E84" s="24" t="n">
        <x:v>-0.7</x:v>
      </x:c>
      <x:c r="F84" s="24" t="n">
        <x:v>-41</x:v>
      </x:c>
      <x:c r="G84" s="24" t="str">
        <x:v>YES</x:v>
      </x:c>
      <x:c r="H84" s="24" t="str"/>
      <x:c r="I84" s="24" t="str">
        <x:v>NORMAL</x:v>
      </x:c>
      <x:c r="J84" s="24" t="n">
        <x:v>-35</x:v>
      </x:c>
      <x:c r="K84" t="str">
        <x:f>IF(G84="NO","EXCLUDE",IF(F84&lt;=J84,"PASS","FAIL"))</x:f>
        <x:v>PASS</x:v>
      </x:c>
    </x:row>
    <x:row r="85">
      <x:c r="A85" s="24" t="str">
        <x:v>DPT-082</x:v>
      </x:c>
      <x:c r="B85" s="24" t="str">
        <x:v>2026-06-21T20:15</x:v>
      </x:c>
      <x:c r="C85" s="24" t="str">
        <x:v>STABLE</x:v>
      </x:c>
      <x:c r="D85" s="24" t="n">
        <x:v>-40</x:v>
      </x:c>
      <x:c r="E85" s="24" t="n">
        <x:v>-0.7</x:v>
      </x:c>
      <x:c r="F85" s="24" t="n">
        <x:v>-40.7</x:v>
      </x:c>
      <x:c r="G85" s="24" t="str">
        <x:v>YES</x:v>
      </x:c>
      <x:c r="H85" s="24" t="str"/>
      <x:c r="I85" s="24" t="str">
        <x:v>NORMAL</x:v>
      </x:c>
      <x:c r="J85" s="24" t="n">
        <x:v>-35</x:v>
      </x:c>
      <x:c r="K85" t="str">
        <x:f>IF(G85="NO","EXCLUDE",IF(F85&lt;=J85,"PASS","FAIL"))</x:f>
        <x:v>PASS</x:v>
      </x:c>
    </x:row>
    <x:row r="86">
      <x:c r="A86" s="24" t="str">
        <x:v>DPT-083</x:v>
      </x:c>
      <x:c r="B86" s="24" t="str">
        <x:v>2026-06-21T20:30</x:v>
      </x:c>
      <x:c r="C86" s="24" t="str">
        <x:v>STABLE</x:v>
      </x:c>
      <x:c r="D86" s="24" t="n">
        <x:v>-39.7</x:v>
      </x:c>
      <x:c r="E86" s="24" t="n">
        <x:v>-0.7</x:v>
      </x:c>
      <x:c r="F86" s="24" t="n">
        <x:v>-40.4</x:v>
      </x:c>
      <x:c r="G86" s="24" t="str">
        <x:v>YES</x:v>
      </x:c>
      <x:c r="H86" s="24" t="str"/>
      <x:c r="I86" s="24" t="str">
        <x:v>NORMAL</x:v>
      </x:c>
      <x:c r="J86" s="24" t="n">
        <x:v>-35</x:v>
      </x:c>
      <x:c r="K86" t="str">
        <x:f>IF(G86="NO","EXCLUDE",IF(F86&lt;=J86,"PASS","FAIL"))</x:f>
        <x:v>PASS</x:v>
      </x:c>
    </x:row>
    <x:row r="87">
      <x:c r="A87" s="24" t="str">
        <x:v>DPT-084</x:v>
      </x:c>
      <x:c r="B87" s="24" t="str">
        <x:v>2026-06-21T20:45</x:v>
      </x:c>
      <x:c r="C87" s="24" t="str">
        <x:v>STABLE</x:v>
      </x:c>
      <x:c r="D87" s="24" t="n">
        <x:v>-39.4</x:v>
      </x:c>
      <x:c r="E87" s="24" t="n">
        <x:v>-0.7</x:v>
      </x:c>
      <x:c r="F87" s="24" t="n">
        <x:v>-40.1</x:v>
      </x:c>
      <x:c r="G87" s="24" t="str">
        <x:v>YES</x:v>
      </x:c>
      <x:c r="H87" s="24" t="str"/>
      <x:c r="I87" s="24" t="str">
        <x:v>NORMAL</x:v>
      </x:c>
      <x:c r="J87" s="24" t="n">
        <x:v>-35</x:v>
      </x:c>
      <x:c r="K87" t="str">
        <x:f>IF(G87="NO","EXCLUDE",IF(F87&lt;=J87,"PASS","FAIL"))</x:f>
        <x:v>PASS</x:v>
      </x:c>
    </x:row>
    <x:row r="88">
      <x:c r="A88" s="24" t="str">
        <x:v>DPT-085</x:v>
      </x:c>
      <x:c r="B88" s="24" t="str">
        <x:v>2026-06-21T21:00</x:v>
      </x:c>
      <x:c r="C88" s="24" t="str">
        <x:v>STABLE</x:v>
      </x:c>
      <x:c r="D88" s="24" t="n">
        <x:v>-39</x:v>
      </x:c>
      <x:c r="E88" s="24" t="n">
        <x:v>-0.7</x:v>
      </x:c>
      <x:c r="F88" s="24" t="n">
        <x:v>-39.7</x:v>
      </x:c>
      <x:c r="G88" s="24" t="str">
        <x:v>YES</x:v>
      </x:c>
      <x:c r="H88" s="24" t="str"/>
      <x:c r="I88" s="24" t="str">
        <x:v>NORMAL</x:v>
      </x:c>
      <x:c r="J88" s="24" t="n">
        <x:v>-35</x:v>
      </x:c>
      <x:c r="K88" t="str">
        <x:f>IF(G88="NO","EXCLUDE",IF(F88&lt;=J88,"PASS","FAIL"))</x:f>
        <x:v>PASS</x:v>
      </x:c>
    </x:row>
    <x:row r="89">
      <x:c r="A89" s="24" t="str">
        <x:v>DPT-086</x:v>
      </x:c>
      <x:c r="B89" s="24" t="str">
        <x:v>2026-06-21T21:15</x:v>
      </x:c>
      <x:c r="C89" s="24" t="str">
        <x:v>STABLE</x:v>
      </x:c>
      <x:c r="D89" s="24" t="n">
        <x:v>-38.7</x:v>
      </x:c>
      <x:c r="E89" s="24" t="n">
        <x:v>-0.7</x:v>
      </x:c>
      <x:c r="F89" s="24" t="n">
        <x:v>-39.4</x:v>
      </x:c>
      <x:c r="G89" s="24" t="str">
        <x:v>YES</x:v>
      </x:c>
      <x:c r="H89" s="24" t="str"/>
      <x:c r="I89" s="24" t="str">
        <x:v>NORMAL</x:v>
      </x:c>
      <x:c r="J89" s="24" t="n">
        <x:v>-35</x:v>
      </x:c>
      <x:c r="K89" t="str">
        <x:f>IF(G89="NO","EXCLUDE",IF(F89&lt;=J89,"PASS","FAIL"))</x:f>
        <x:v>PASS</x:v>
      </x:c>
    </x:row>
    <x:row r="90">
      <x:c r="A90" s="24" t="str">
        <x:v>DPT-087</x:v>
      </x:c>
      <x:c r="B90" s="24" t="str">
        <x:v>2026-06-21T21:30</x:v>
      </x:c>
      <x:c r="C90" s="24" t="str">
        <x:v>STABLE</x:v>
      </x:c>
      <x:c r="D90" s="24" t="n">
        <x:v>-38.4</x:v>
      </x:c>
      <x:c r="E90" s="24" t="n">
        <x:v>-0.7</x:v>
      </x:c>
      <x:c r="F90" s="24" t="n">
        <x:v>-39.1</x:v>
      </x:c>
      <x:c r="G90" s="24" t="str">
        <x:v>YES</x:v>
      </x:c>
      <x:c r="H90" s="24" t="str"/>
      <x:c r="I90" s="24" t="str">
        <x:v>NORMAL</x:v>
      </x:c>
      <x:c r="J90" s="24" t="n">
        <x:v>-35</x:v>
      </x:c>
      <x:c r="K90" t="str">
        <x:f>IF(G90="NO","EXCLUDE",IF(F90&lt;=J90,"PASS","FAIL"))</x:f>
        <x:v>PASS</x:v>
      </x:c>
    </x:row>
    <x:row r="91">
      <x:c r="A91" s="24" t="str">
        <x:v>DPT-088</x:v>
      </x:c>
      <x:c r="B91" s="24" t="str">
        <x:v>2026-06-21T21:45</x:v>
      </x:c>
      <x:c r="C91" s="24" t="str">
        <x:v>STABLE</x:v>
      </x:c>
      <x:c r="D91" s="24" t="n">
        <x:v>-38.1</x:v>
      </x:c>
      <x:c r="E91" s="24" t="n">
        <x:v>-0.7</x:v>
      </x:c>
      <x:c r="F91" s="24" t="n">
        <x:v>-38.8</x:v>
      </x:c>
      <x:c r="G91" s="24" t="str">
        <x:v>YES</x:v>
      </x:c>
      <x:c r="H91" s="24" t="str"/>
      <x:c r="I91" s="24" t="str">
        <x:v>NORMAL</x:v>
      </x:c>
      <x:c r="J91" s="24" t="n">
        <x:v>-35</x:v>
      </x:c>
      <x:c r="K91" t="str">
        <x:f>IF(G91="NO","EXCLUDE",IF(F91&lt;=J91,"PASS","FAIL"))</x:f>
        <x:v>PASS</x:v>
      </x:c>
    </x:row>
    <x:row r="92">
      <x:c r="A92" s="24" t="str">
        <x:v>DPT-089</x:v>
      </x:c>
      <x:c r="B92" s="24" t="str">
        <x:v>2026-06-21T22:00</x:v>
      </x:c>
      <x:c r="C92" s="24" t="str">
        <x:v>STABLE</x:v>
      </x:c>
      <x:c r="D92" s="24" t="n">
        <x:v>-37.8</x:v>
      </x:c>
      <x:c r="E92" s="24" t="n">
        <x:v>-0.7</x:v>
      </x:c>
      <x:c r="F92" s="24" t="n">
        <x:v>-38.5</x:v>
      </x:c>
      <x:c r="G92" s="24" t="str">
        <x:v>YES</x:v>
      </x:c>
      <x:c r="H92" s="24" t="str"/>
      <x:c r="I92" s="24" t="str">
        <x:v>NORMAL</x:v>
      </x:c>
      <x:c r="J92" s="24" t="n">
        <x:v>-35</x:v>
      </x:c>
      <x:c r="K92" t="str">
        <x:f>IF(G92="NO","EXCLUDE",IF(F92&lt;=J92,"PASS","FAIL"))</x:f>
        <x:v>PASS</x:v>
      </x:c>
    </x:row>
    <x:row r="93">
      <x:c r="A93" s="24" t="str">
        <x:v>DPT-090</x:v>
      </x:c>
      <x:c r="B93" s="24" t="str">
        <x:v>2026-06-21T22:15</x:v>
      </x:c>
      <x:c r="C93" s="24" t="str">
        <x:v>STABLE</x:v>
      </x:c>
      <x:c r="D93" s="24" t="n">
        <x:v>-37.5</x:v>
      </x:c>
      <x:c r="E93" s="24" t="n">
        <x:v>-0.7</x:v>
      </x:c>
      <x:c r="F93" s="24" t="n">
        <x:v>-38.2</x:v>
      </x:c>
      <x:c r="G93" s="24" t="str">
        <x:v>YES</x:v>
      </x:c>
      <x:c r="H93" s="24" t="str"/>
      <x:c r="I93" s="24" t="str">
        <x:v>NORMAL</x:v>
      </x:c>
      <x:c r="J93" s="24" t="n">
        <x:v>-35</x:v>
      </x:c>
      <x:c r="K93" t="str">
        <x:f>IF(G93="NO","EXCLUDE",IF(F93&lt;=J93,"PASS","FAIL"))</x:f>
        <x:v>PASS</x:v>
      </x:c>
    </x:row>
    <x:row r="94">
      <x:c r="A94" s="24" t="str">
        <x:v>DPT-091</x:v>
      </x:c>
      <x:c r="B94" s="24" t="str">
        <x:v>2026-06-21T22:30</x:v>
      </x:c>
      <x:c r="C94" s="24" t="str">
        <x:v>STABLE</x:v>
      </x:c>
      <x:c r="D94" s="24" t="n">
        <x:v>-37.2</x:v>
      </x:c>
      <x:c r="E94" s="24" t="n">
        <x:v>-0.7</x:v>
      </x:c>
      <x:c r="F94" s="24" t="n">
        <x:v>-37.9</x:v>
      </x:c>
      <x:c r="G94" s="24" t="str">
        <x:v>YES</x:v>
      </x:c>
      <x:c r="H94" s="24" t="str"/>
      <x:c r="I94" s="24" t="str">
        <x:v>NORMAL</x:v>
      </x:c>
      <x:c r="J94" s="24" t="n">
        <x:v>-35</x:v>
      </x:c>
      <x:c r="K94" t="str">
        <x:f>IF(G94="NO","EXCLUDE",IF(F94&lt;=J94,"PASS","FAIL"))</x:f>
        <x:v>PASS</x:v>
      </x:c>
    </x:row>
    <x:row r="95">
      <x:c r="A95" s="24" t="str">
        <x:v>DPT-092</x:v>
      </x:c>
      <x:c r="B95" s="24" t="str">
        <x:v>2026-06-21T22:45</x:v>
      </x:c>
      <x:c r="C95" s="24" t="str">
        <x:v>STABLE</x:v>
      </x:c>
      <x:c r="D95" s="24" t="n">
        <x:v>-36.9</x:v>
      </x:c>
      <x:c r="E95" s="24" t="n">
        <x:v>-0.7</x:v>
      </x:c>
      <x:c r="F95" s="24" t="n">
        <x:v>-37.6</x:v>
      </x:c>
      <x:c r="G95" s="24" t="str">
        <x:v>YES</x:v>
      </x:c>
      <x:c r="H95" s="24" t="str"/>
      <x:c r="I95" s="24" t="str">
        <x:v>NORMAL</x:v>
      </x:c>
      <x:c r="J95" s="24" t="n">
        <x:v>-35</x:v>
      </x:c>
      <x:c r="K95" t="str">
        <x:f>IF(G95="NO","EXCLUDE",IF(F95&lt;=J95,"PASS","FAIL"))</x:f>
        <x:v>PASS</x:v>
      </x:c>
    </x:row>
    <x:row r="96">
      <x:c r="A96" s="24" t="str">
        <x:v>DPT-093</x:v>
      </x:c>
      <x:c r="B96" s="24" t="str">
        <x:v>2026-06-21T23:00</x:v>
      </x:c>
      <x:c r="C96" s="24" t="str">
        <x:v>STABLE</x:v>
      </x:c>
      <x:c r="D96" s="24" t="n">
        <x:v>-36.6</x:v>
      </x:c>
      <x:c r="E96" s="24" t="n">
        <x:v>-0.7</x:v>
      </x:c>
      <x:c r="F96" s="24" t="n">
        <x:v>-37.3</x:v>
      </x:c>
      <x:c r="G96" s="24" t="str">
        <x:v>YES</x:v>
      </x:c>
      <x:c r="H96" s="24" t="str"/>
      <x:c r="I96" s="24" t="str">
        <x:v>NORMAL</x:v>
      </x:c>
      <x:c r="J96" s="24" t="n">
        <x:v>-35</x:v>
      </x:c>
      <x:c r="K96" t="str">
        <x:f>IF(G96="NO","EXCLUDE",IF(F96&lt;=J96,"PASS","FAIL"))</x:f>
        <x:v>PASS</x:v>
      </x:c>
    </x:row>
    <x:row r="97">
      <x:c r="A97" s="24" t="str">
        <x:v>DPT-094</x:v>
      </x:c>
      <x:c r="B97" s="24" t="str">
        <x:v>2026-06-21T23:15</x:v>
      </x:c>
      <x:c r="C97" s="24" t="str">
        <x:v>STABLE</x:v>
      </x:c>
      <x:c r="D97" s="24" t="n">
        <x:v>-36.3</x:v>
      </x:c>
      <x:c r="E97" s="24" t="n">
        <x:v>-0.7</x:v>
      </x:c>
      <x:c r="F97" s="24" t="n">
        <x:v>-37</x:v>
      </x:c>
      <x:c r="G97" s="24" t="str">
        <x:v>YES</x:v>
      </x:c>
      <x:c r="H97" s="24" t="str"/>
      <x:c r="I97" s="24" t="str">
        <x:v>NORMAL</x:v>
      </x:c>
      <x:c r="J97" s="24" t="n">
        <x:v>-35</x:v>
      </x:c>
      <x:c r="K97" t="str">
        <x:f>IF(G97="NO","EXCLUDE",IF(F97&lt;=J97,"PASS","FAIL"))</x:f>
        <x:v>PASS</x:v>
      </x:c>
    </x:row>
    <x:row r="98">
      <x:c r="A98" s="24" t="str">
        <x:v>DPT-095</x:v>
      </x:c>
      <x:c r="B98" s="24" t="str">
        <x:v>2026-06-21T23:30</x:v>
      </x:c>
      <x:c r="C98" s="24" t="str">
        <x:v>STABLE</x:v>
      </x:c>
      <x:c r="D98" s="24" t="n">
        <x:v>-36</x:v>
      </x:c>
      <x:c r="E98" s="24" t="n">
        <x:v>-0.7</x:v>
      </x:c>
      <x:c r="F98" s="24" t="n">
        <x:v>-36.7</x:v>
      </x:c>
      <x:c r="G98" s="24" t="str">
        <x:v>YES</x:v>
      </x:c>
      <x:c r="H98" s="24" t="str"/>
      <x:c r="I98" s="24" t="str">
        <x:v>NORMAL</x:v>
      </x:c>
      <x:c r="J98" s="24" t="n">
        <x:v>-35</x:v>
      </x:c>
      <x:c r="K98" t="str">
        <x:f>IF(G98="NO","EXCLUDE",IF(F98&lt;=J98,"PASS","FAIL"))</x:f>
        <x:v>PASS</x:v>
      </x:c>
    </x:row>
    <x:row r="99">
      <x:c r="A99" s="24" t="str">
        <x:v>DPT-096</x:v>
      </x:c>
      <x:c r="B99" s="24" t="str">
        <x:v>2026-06-21T23:45</x:v>
      </x:c>
      <x:c r="C99" s="24" t="str">
        <x:v>STABLE</x:v>
      </x:c>
      <x:c r="D99" s="24" t="n">
        <x:v>-32.7</x:v>
      </x:c>
      <x:c r="E99" s="24" t="n">
        <x:v>-0.7</x:v>
      </x:c>
      <x:c r="F99" s="24" t="n">
        <x:v>-33.4</x:v>
      </x:c>
      <x:c r="G99" s="24" t="str">
        <x:v>YES</x:v>
      </x:c>
      <x:c r="H99" s="24" t="str"/>
      <x:c r="I99" s="24" t="str">
        <x:v>ACKNOWLEDGED</x:v>
      </x:c>
      <x:c r="J99" s="24" t="n">
        <x:v>-35</x:v>
      </x:c>
      <x:c r="K99" t="str">
        <x:f>IF(G99="NO","EXCLUDE",IF(F99&lt;=J99,"PASS","FAIL"))</x:f>
        <x:v>FAIL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c142c52a26347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7" hidden="0" customWidth="1"/>
    <x:col min="5" max="5" width="18" hidden="0" customWidth="1"/>
    <x:col min="6" max="6" width="16" hidden="0" customWidth="1"/>
    <x:col min="7" max="7" width="18" hidden="0" customWidth="1"/>
    <x:col min="8" max="8" width="45" hidden="0" customWidth="1"/>
  </x:cols>
  <x:sheetData>
    <x:row r="1" ht="24" customHeight="1">
      <x:c r="A1" s="5" t="str">
        <x:v>Dewpoint Instrument Calibration References</x:v>
      </x:c>
      <x:c r="B1" s="5"/>
      <x:c r="C1" s="5"/>
      <x:c r="D1" s="5"/>
      <x:c r="E1" s="5"/>
      <x:c r="F1" s="5"/>
      <x:c r="G1" s="5"/>
      <x:c r="H1" s="5"/>
    </x:row>
    <x:row r="3">
      <x:c r="A3" s="15" t="str">
        <x:v>calibration_id</x:v>
      </x:c>
      <x:c r="B3" s="15" t="str">
        <x:v>sensor_tag</x:v>
      </x:c>
      <x:c r="C3" s="15" t="str">
        <x:v>calibration_date</x:v>
      </x:c>
      <x:c r="D3" s="15" t="str">
        <x:v>as_found_bias_C</x:v>
      </x:c>
      <x:c r="E3" s="15" t="str">
        <x:v>applied_correction_C</x:v>
      </x:c>
      <x:c r="F3" s="15" t="str">
        <x:v>as_left_error_C</x:v>
      </x:c>
      <x:c r="G3" s="15" t="str">
        <x:v>certificate_status</x:v>
      </x:c>
      <x:c r="H3" s="15" t="str">
        <x:v>note</x:v>
      </x:c>
    </x:row>
    <x:row r="4">
      <x:c r="A4" s="24" t="str">
        <x:v>CAL-DPT-2601</x:v>
      </x:c>
      <x:c r="B4" s="24" t="str">
        <x:v>DPT-317A</x:v>
      </x:c>
      <x:c r="C4" s="24" t="str">
        <x:v>2026-06-18</x:v>
      </x:c>
      <x:c r="D4" s="24" t="str">
        <x:v>+0.7</x:v>
      </x:c>
      <x:c r="E4" s="24" t="str">
        <x:v>-0.7</x:v>
      </x:c>
      <x:c r="F4" s="24" t="str">
        <x:v>0.0</x:v>
      </x:c>
      <x:c r="G4" s="24" t="str">
        <x:v>ACCEPTED</x:v>
      </x:c>
      <x:c r="H4" s="24" t="str">
        <x:v>Correction applied to all raw trend values</x:v>
      </x:c>
    </x:row>
    <x:row r="5">
      <x:c r="A5" s="24" t="str">
        <x:v>CAL-DPT-2401</x:v>
      </x:c>
      <x:c r="B5" s="24" t="str">
        <x:v>DPT-317A</x:v>
      </x:c>
      <x:c r="C5" s="24" t="str">
        <x:v>2024-04-09</x:v>
      </x:c>
      <x:c r="D5" s="24" t="str">
        <x:v>+0.2</x:v>
      </x:c>
      <x:c r="E5" s="24" t="str">
        <x:v>-0.2</x:v>
      </x:c>
      <x:c r="F5" s="24" t="str">
        <x:v>0.0</x:v>
      </x:c>
      <x:c r="G5" s="24" t="str">
        <x:v>SUPERSEDED</x:v>
      </x:c>
      <x:c r="H5" s="24" t="str">
        <x:v>Not used for 2026 trend</x:v>
      </x:c>
    </x:row>
    <x:row r="6">
      <x:c r="A6" s="24" t="str">
        <x:v>PORT-DP-118</x:v>
      </x:c>
      <x:c r="B6" s="24" t="str">
        <x:v>PORTABLE-CHECK</x:v>
      </x:c>
      <x:c r="C6" s="24" t="str">
        <x:v>2026-06-22</x:v>
      </x:c>
      <x:c r="D6" s="24" t="str">
        <x:v>+0.3</x:v>
      </x:c>
      <x:c r="E6" s="24" t="str">
        <x:v>0.0</x:v>
      </x:c>
      <x:c r="F6" s="24" t="str">
        <x:v>+0.3</x:v>
      </x:c>
      <x:c r="G6" s="24" t="str">
        <x:v>CROSSCHECK</x:v>
      </x:c>
      <x:c r="H6" s="24" t="str">
        <x:v>Portable unit not controlling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f622a05f75940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2" hidden="0" customWidth="1"/>
    <x:col min="5" max="5" width="60" hidden="0" customWidth="1"/>
  </x:cols>
  <x:sheetData>
    <x:row r="1" ht="24" customHeight="1">
      <x:c r="A1" s="5" t="str">
        <x:v>Excluded Startup and Regeneration Transition Records</x:v>
      </x:c>
      <x:c r="B1" s="5"/>
      <x:c r="C1" s="5"/>
      <x:c r="D1" s="5"/>
      <x:c r="E1" s="5"/>
    </x:row>
    <x:row r="3">
      <x:c r="A3" s="15" t="str">
        <x:v>row_id</x:v>
      </x:c>
      <x:c r="B3" s="15" t="str">
        <x:v>timestamp</x:v>
      </x:c>
      <x:c r="C3" s="15" t="str">
        <x:v>phase</x:v>
      </x:c>
      <x:c r="D3" s="15" t="str">
        <x:v>corrected_dewpoint_C</x:v>
      </x:c>
      <x:c r="E3" s="15" t="str">
        <x:v>exclusion_basis</x:v>
      </x:c>
    </x:row>
    <x:row r="4">
      <x:c r="A4" s="24" t="str">
        <x:v>DPT-001</x:v>
      </x:c>
      <x:c r="B4" s="24" t="str">
        <x:v>2026-06-21T00:00</x:v>
      </x:c>
      <x:c r="C4" s="24" t="str">
        <x:v>STARTUP</x:v>
      </x:c>
      <x:c r="D4" s="24" t="n">
        <x:v>-8</x:v>
      </x:c>
      <x:c r="E4" s="24" t="str">
        <x:v>Excluded from stable median and worst-stable calculation</x:v>
      </x:c>
    </x:row>
    <x:row r="5">
      <x:c r="A5" s="24" t="str">
        <x:v>DPT-002</x:v>
      </x:c>
      <x:c r="B5" s="24" t="str">
        <x:v>2026-06-21T00:15</x:v>
      </x:c>
      <x:c r="C5" s="24" t="str">
        <x:v>STARTUP</x:v>
      </x:c>
      <x:c r="D5" s="24" t="n">
        <x:v>-10.7</x:v>
      </x:c>
      <x:c r="E5" s="24" t="str">
        <x:v>Excluded from stable median and worst-stable calculation</x:v>
      </x:c>
    </x:row>
    <x:row r="6">
      <x:c r="A6" s="24" t="str">
        <x:v>DPT-003</x:v>
      </x:c>
      <x:c r="B6" s="24" t="str">
        <x:v>2026-06-21T00:30</x:v>
      </x:c>
      <x:c r="C6" s="24" t="str">
        <x:v>STARTUP</x:v>
      </x:c>
      <x:c r="D6" s="24" t="n">
        <x:v>-13.4</x:v>
      </x:c>
      <x:c r="E6" s="24" t="str">
        <x:v>Excluded from stable median and worst-stable calculation</x:v>
      </x:c>
    </x:row>
    <x:row r="7">
      <x:c r="A7" s="24" t="str">
        <x:v>DPT-004</x:v>
      </x:c>
      <x:c r="B7" s="24" t="str">
        <x:v>2026-06-21T00:45</x:v>
      </x:c>
      <x:c r="C7" s="24" t="str">
        <x:v>STARTUP</x:v>
      </x:c>
      <x:c r="D7" s="24" t="n">
        <x:v>-16.1</x:v>
      </x:c>
      <x:c r="E7" s="24" t="str">
        <x:v>Excluded from stable median and worst-stable calculation</x:v>
      </x:c>
    </x:row>
    <x:row r="8">
      <x:c r="A8" s="24" t="str">
        <x:v>DPT-005</x:v>
      </x:c>
      <x:c r="B8" s="24" t="str">
        <x:v>2026-06-21T01:00</x:v>
      </x:c>
      <x:c r="C8" s="24" t="str">
        <x:v>STARTUP</x:v>
      </x:c>
      <x:c r="D8" s="24" t="n">
        <x:v>-18.8</x:v>
      </x:c>
      <x:c r="E8" s="24" t="str">
        <x:v>Excluded from stable median and worst-stable calculation</x:v>
      </x:c>
    </x:row>
    <x:row r="9">
      <x:c r="A9" s="24" t="str">
        <x:v>DPT-006</x:v>
      </x:c>
      <x:c r="B9" s="24" t="str">
        <x:v>2026-06-21T01:15</x:v>
      </x:c>
      <x:c r="C9" s="24" t="str">
        <x:v>STARTUP</x:v>
      </x:c>
      <x:c r="D9" s="24" t="n">
        <x:v>-21.5</x:v>
      </x:c>
      <x:c r="E9" s="24" t="str">
        <x:v>Excluded from stable median and worst-stable calculation</x:v>
      </x:c>
    </x:row>
    <x:row r="10">
      <x:c r="A10" s="24" t="str">
        <x:v>DPT-007</x:v>
      </x:c>
      <x:c r="B10" s="24" t="str">
        <x:v>2026-06-21T01:30</x:v>
      </x:c>
      <x:c r="C10" s="24" t="str">
        <x:v>STARTUP</x:v>
      </x:c>
      <x:c r="D10" s="24" t="n">
        <x:v>-24.2</x:v>
      </x:c>
      <x:c r="E10" s="24" t="str">
        <x:v>Excluded from stable median and worst-stable calculation</x:v>
      </x:c>
    </x:row>
    <x:row r="11">
      <x:c r="A11" s="24" t="str">
        <x:v>DPT-008</x:v>
      </x:c>
      <x:c r="B11" s="24" t="str">
        <x:v>2026-06-21T01:45</x:v>
      </x:c>
      <x:c r="C11" s="24" t="str">
        <x:v>STARTUP</x:v>
      </x:c>
      <x:c r="D11" s="24" t="n">
        <x:v>-26.9</x:v>
      </x:c>
      <x:c r="E11" s="24" t="str">
        <x:v>Excluded from stable median and worst-stable calculation</x:v>
      </x:c>
    </x:row>
    <x:row r="12">
      <x:c r="A12" s="24" t="str">
        <x:v>DPT-037</x:v>
      </x:c>
      <x:c r="B12" s="24" t="str">
        <x:v>2026-06-21T09:00</x:v>
      </x:c>
      <x:c r="C12" s="24" t="str">
        <x:v>REGEN_TRANSITION</x:v>
      </x:c>
      <x:c r="D12" s="24" t="n">
        <x:v>-24.4</x:v>
      </x:c>
      <x:c r="E12" s="24" t="str">
        <x:v>Excluded from stable median and worst-stable calculation</x:v>
      </x:c>
    </x:row>
    <x:row r="13">
      <x:c r="A13" s="24" t="str">
        <x:v>DPT-038</x:v>
      </x:c>
      <x:c r="B13" s="24" t="str">
        <x:v>2026-06-21T09:15</x:v>
      </x:c>
      <x:c r="C13" s="24" t="str">
        <x:v>REGEN_TRANSITION</x:v>
      </x:c>
      <x:c r="D13" s="24" t="n">
        <x:v>-26</x:v>
      </x:c>
      <x:c r="E13" s="24" t="str">
        <x:v>Excluded from stable median and worst-stable calculation</x:v>
      </x:c>
    </x:row>
    <x:row r="14">
      <x:c r="A14" s="24" t="str">
        <x:v>DPT-039</x:v>
      </x:c>
      <x:c r="B14" s="24" t="str">
        <x:v>2026-06-21T09:30</x:v>
      </x:c>
      <x:c r="C14" s="24" t="str">
        <x:v>REGEN_TRANSITION</x:v>
      </x:c>
      <x:c r="D14" s="24" t="n">
        <x:v>-27.6</x:v>
      </x:c>
      <x:c r="E14" s="24" t="str">
        <x:v>Excluded from stable median and worst-stable calculation</x:v>
      </x:c>
    </x:row>
    <x:row r="15">
      <x:c r="A15" s="24" t="str">
        <x:v>DPT-040</x:v>
      </x:c>
      <x:c r="B15" s="24" t="str">
        <x:v>2026-06-21T09:45</x:v>
      </x:c>
      <x:c r="C15" s="24" t="str">
        <x:v>REGEN_TRANSITION</x:v>
      </x:c>
      <x:c r="D15" s="24" t="n">
        <x:v>-29.2</x:v>
      </x:c>
      <x:c r="E15" s="24" t="str">
        <x:v>Excluded from stable median and worst-stable calculation</x:v>
      </x:c>
    </x:row>
    <x:row r="16">
      <x:c r="A16" s="24" t="str">
        <x:v>DPT-041</x:v>
      </x:c>
      <x:c r="B16" s="24" t="str">
        <x:v>2026-06-21T10:00</x:v>
      </x:c>
      <x:c r="C16" s="24" t="str">
        <x:v>REGEN_TRANSITION</x:v>
      </x:c>
      <x:c r="D16" s="24" t="n">
        <x:v>-18</x:v>
      </x:c>
      <x:c r="E16" s="24" t="str">
        <x:v>Excluded from stable median and worst-stable calculation</x:v>
      </x:c>
    </x:row>
    <x:row r="17">
      <x:c r="A17" s="24" t="str">
        <x:v>DPT-042</x:v>
      </x:c>
      <x:c r="B17" s="24" t="str">
        <x:v>2026-06-21T10:15</x:v>
      </x:c>
      <x:c r="C17" s="24" t="str">
        <x:v>REGEN_TRANSITION</x:v>
      </x:c>
      <x:c r="D17" s="24" t="n">
        <x:v>-19.6</x:v>
      </x:c>
      <x:c r="E17" s="24" t="str">
        <x:v>Excluded from stable median and worst-stable calculation</x:v>
      </x:c>
    </x:row>
    <x:row r="18">
      <x:c r="A18" s="24" t="str">
        <x:v>DPT-043</x:v>
      </x:c>
      <x:c r="B18" s="24" t="str">
        <x:v>2026-06-21T10:30</x:v>
      </x:c>
      <x:c r="C18" s="24" t="str">
        <x:v>REGEN_TRANSITION</x:v>
      </x:c>
      <x:c r="D18" s="24" t="n">
        <x:v>-21.2</x:v>
      </x:c>
      <x:c r="E18" s="24" t="str">
        <x:v>Excluded from stable median and worst-stable calculation</x:v>
      </x:c>
    </x:row>
    <x:row r="19">
      <x:c r="A19" s="24" t="str">
        <x:v>DPT-044</x:v>
      </x:c>
      <x:c r="B19" s="24" t="str">
        <x:v>2026-06-21T10:45</x:v>
      </x:c>
      <x:c r="C19" s="24" t="str">
        <x:v>REGEN_TRANSITION</x:v>
      </x:c>
      <x:c r="D19" s="24" t="n">
        <x:v>-22.8</x:v>
      </x:c>
      <x:c r="E19" s="24" t="str">
        <x:v>Excluded from stable median and worst-stable calculation</x:v>
      </x:c>
    </x:row>
    <x:row r="20">
      <x:c r="A20" s="24" t="str">
        <x:v>DPT-073</x:v>
      </x:c>
      <x:c r="B20" s="24" t="str">
        <x:v>2026-06-21T18:00</x:v>
      </x:c>
      <x:c r="C20" s="24" t="str">
        <x:v>REGEN_TRANSITION</x:v>
      </x:c>
      <x:c r="D20" s="24" t="n">
        <x:v>-18</x:v>
      </x:c>
      <x:c r="E20" s="24" t="str">
        <x:v>Excluded from stable median and worst-stable calculation</x:v>
      </x:c>
    </x:row>
    <x:row r="21">
      <x:c r="A21" s="24" t="str">
        <x:v>DPT-074</x:v>
      </x:c>
      <x:c r="B21" s="24" t="str">
        <x:v>2026-06-21T18:15</x:v>
      </x:c>
      <x:c r="C21" s="24" t="str">
        <x:v>REGEN_TRANSITION</x:v>
      </x:c>
      <x:c r="D21" s="24" t="n">
        <x:v>-19.6</x:v>
      </x:c>
      <x:c r="E21" s="24" t="str">
        <x:v>Excluded from stable median and worst-stable calculation</x:v>
      </x:c>
    </x:row>
    <x:row r="22">
      <x:c r="A22" s="24" t="str">
        <x:v>DPT-075</x:v>
      </x:c>
      <x:c r="B22" s="24" t="str">
        <x:v>2026-06-21T18:30</x:v>
      </x:c>
      <x:c r="C22" s="24" t="str">
        <x:v>REGEN_TRANSITION</x:v>
      </x:c>
      <x:c r="D22" s="24" t="n">
        <x:v>-21.2</x:v>
      </x:c>
      <x:c r="E22" s="24" t="str">
        <x:v>Excluded from stable median and worst-stable calculation</x:v>
      </x:c>
    </x:row>
    <x:row r="23">
      <x:c r="A23" s="24" t="str">
        <x:v>DPT-076</x:v>
      </x:c>
      <x:c r="B23" s="24" t="str">
        <x:v>2026-06-21T18:45</x:v>
      </x:c>
      <x:c r="C23" s="24" t="str">
        <x:v>REGEN_TRANSITION</x:v>
      </x:c>
      <x:c r="D23" s="24" t="n">
        <x:v>-22.8</x:v>
      </x:c>
      <x:c r="E23" s="24" t="str">
        <x:v>Excluded from stable median and worst-stable calculation</x:v>
      </x:c>
    </x:row>
    <x:row r="24">
      <x:c r="A24" s="24" t="str">
        <x:v>DPT-077</x:v>
      </x:c>
      <x:c r="B24" s="24" t="str">
        <x:v>2026-06-21T19:00</x:v>
      </x:c>
      <x:c r="C24" s="24" t="str">
        <x:v>REGEN_TRANSITION</x:v>
      </x:c>
      <x:c r="D24" s="24" t="n">
        <x:v>-24.4</x:v>
      </x:c>
      <x:c r="E24" s="24" t="str">
        <x:v>Excluded from stable median and worst-stable calculation</x:v>
      </x:c>
    </x:row>
    <x:row r="25">
      <x:c r="A25" s="24" t="str">
        <x:v>DPT-078</x:v>
      </x:c>
      <x:c r="B25" s="24" t="str">
        <x:v>2026-06-21T19:15</x:v>
      </x:c>
      <x:c r="C25" s="24" t="str">
        <x:v>REGEN_TRANSITION</x:v>
      </x:c>
      <x:c r="D25" s="24" t="n">
        <x:v>-26</x:v>
      </x:c>
      <x:c r="E25" s="24" t="str">
        <x:v>Excluded from stable median and worst-stable calculation</x:v>
      </x:c>
    </x:row>
    <x:row r="26">
      <x:c r="A26" s="24" t="str">
        <x:v>DPT-079</x:v>
      </x:c>
      <x:c r="B26" s="24" t="str">
        <x:v>2026-06-21T19:30</x:v>
      </x:c>
      <x:c r="C26" s="24" t="str">
        <x:v>REGEN_TRANSITION</x:v>
      </x:c>
      <x:c r="D26" s="24" t="n">
        <x:v>-27.6</x:v>
      </x:c>
      <x:c r="E26" s="24" t="str">
        <x:v>Excluded from stable median and worst-stable calculation</x:v>
      </x:c>
    </x:row>
    <x:row r="27">
      <x:c r="A27" s="24" t="str">
        <x:v>DPT-080</x:v>
      </x:c>
      <x:c r="B27" s="24" t="str">
        <x:v>2026-06-21T19:45</x:v>
      </x:c>
      <x:c r="C27" s="24" t="str">
        <x:v>REGEN_TRANSITION</x:v>
      </x:c>
      <x:c r="D27" s="24" t="n">
        <x:v>-29.2</x:v>
      </x:c>
      <x:c r="E27" s="24" t="str">
        <x:v>Excluded from stable median and worst-stable calculation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c0b99fb2ee740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10" hidden="0" customWidth="1"/>
    <x:col min="5" max="5" width="34" hidden="0" customWidth="1"/>
    <x:col min="6" max="6" width="18" hidden="0" customWidth="1"/>
    <x:col min="7" max="7" width="55" hidden="0" customWidth="1"/>
  </x:cols>
  <x:sheetData>
    <x:row r="1" ht="24" customHeight="1">
      <x:c r="A1" s="5" t="str">
        <x:v>Dewpoint Reconciliation Summary</x:v>
      </x:c>
      <x:c r="B1" s="5"/>
      <x:c r="C1" s="5"/>
      <x:c r="D1" s="5"/>
      <x:c r="E1" s="5"/>
      <x:c r="F1" s="5"/>
      <x:c r="G1" s="5"/>
    </x:row>
    <x:row r="3">
      <x:c r="A3" s="15" t="str">
        <x:v>summary_id</x:v>
      </x:c>
      <x:c r="B3" s="15" t="str">
        <x:v>metric</x:v>
      </x:c>
      <x:c r="C3" s="15" t="str">
        <x:v>value</x:v>
      </x:c>
      <x:c r="D3" s="15" t="str">
        <x:v>unit</x:v>
      </x:c>
      <x:c r="E3" s="15" t="str">
        <x:v>calculation_scope</x:v>
      </x:c>
      <x:c r="F3" s="15" t="str">
        <x:v>status</x:v>
      </x:c>
      <x:c r="G3" s="15" t="str">
        <x:v>note</x:v>
      </x:c>
    </x:row>
    <x:row r="4">
      <x:c r="A4" s="24" t="str">
        <x:v>SUM-001</x:v>
      </x:c>
      <x:c r="B4" s="24" t="str">
        <x:v>Accepted stable median</x:v>
      </x:c>
      <x:c r="C4" s="24" t="str">
        <x:v>-41.8</x:v>
      </x:c>
      <x:c r="D4" s="24" t="str">
        <x:v>C</x:v>
      </x:c>
      <x:c r="E4" s="24" t="str">
        <x:v>Stable rows only</x:v>
      </x:c>
      <x:c r="F4" s="24" t="str">
        <x:v>ACCEPTED</x:v>
      </x:c>
      <x:c r="G4" s="24" t="str">
        <x:v>Median of 72 stable corrected values</x:v>
      </x:c>
    </x:row>
    <x:row r="5">
      <x:c r="A5" s="24" t="str">
        <x:v>SUM-002</x:v>
      </x:c>
      <x:c r="B5" s="24" t="str">
        <x:v>Accepted worst stable value</x:v>
      </x:c>
      <x:c r="C5" s="24" t="str">
        <x:v>-33.4</x:v>
      </x:c>
      <x:c r="D5" s="24" t="str">
        <x:v>C</x:v>
      </x:c>
      <x:c r="E5" s="24" t="str">
        <x:v>Stable rows only</x:v>
      </x:c>
      <x:c r="F5" s="24" t="str">
        <x:v>FAIL</x:v>
      </x:c>
      <x:c r="G5" s="24" t="str">
        <x:v>Exceeds -35 C local stable limit</x:v>
      </x:c>
    </x:row>
    <x:row r="6">
      <x:c r="A6" s="24" t="str">
        <x:v>SUM-003</x:v>
      </x:c>
      <x:c r="B6" s="24" t="str">
        <x:v>Panel auto-summary median</x:v>
      </x:c>
      <x:c r="C6" s="24" t="str">
        <x:v>-38.2</x:v>
      </x:c>
      <x:c r="D6" s="24" t="str">
        <x:v>C</x:v>
      </x:c>
      <x:c r="E6" s="24" t="str">
        <x:v>All records including transitions</x:v>
      </x:c>
      <x:c r="F6" s="24" t="str">
        <x:v>NONCONTROLLING</x:v>
      </x:c>
      <x:c r="G6" s="24" t="str">
        <x:v>Includes startup and tower-switch transitions</x:v>
      </x:c>
    </x:row>
    <x:row r="7">
      <x:c r="A7" s="24" t="str">
        <x:v>SUM-004</x:v>
      </x:c>
      <x:c r="B7" s="24" t="str">
        <x:v>Panel filtered worst value</x:v>
      </x:c>
      <x:c r="C7" s="24" t="str">
        <x:v>-36.5</x:v>
      </x:c>
      <x:c r="D7" s="24" t="str">
        <x:v>C</x:v>
      </x:c>
      <x:c r="E7" s="24" t="str">
        <x:v>Stable rows excluding DPT-090</x:v>
      </x:c>
      <x:c r="F7" s="24" t="str">
        <x:v>NONCONTROLLING</x:v>
      </x:c>
      <x:c r="G7" s="24" t="str">
        <x:v>DPT-090 was incorrectly omitted by panel filter</x:v>
      </x:c>
    </x:row>
    <x:row r="8">
      <x:c r="A8" s="24" t="str">
        <x:v>SUM-005</x:v>
      </x:c>
      <x:c r="B8" s="24" t="str">
        <x:v>Stable record count</x:v>
      </x:c>
      <x:c r="C8" s="24" t="str">
        <x:v>72</x:v>
      </x:c>
      <x:c r="D8" s="24" t="str">
        <x:v>count</x:v>
      </x:c>
      <x:c r="E8" s="24" t="str">
        <x:v>Stable rows only</x:v>
      </x:c>
      <x:c r="F8" s="24" t="str">
        <x:v>ACCEPTED</x:v>
      </x:c>
      <x:c r="G8" s="24" t="str">
        <x:v>Startup and regeneration transitions excluded</x:v>
      </x:c>
    </x:row>
    <x:row r="9">
      <x:c r="A9" s="24" t="str">
        <x:v>SUM-006</x:v>
      </x:c>
      <x:c r="B9" s="24" t="str">
        <x:v>Excluded transition count</x:v>
      </x:c>
      <x:c r="C9" s="24" t="str">
        <x:v>24</x:v>
      </x:c>
      <x:c r="D9" s="24" t="str">
        <x:v>count</x:v>
      </x:c>
      <x:c r="E9" s="24" t="str">
        <x:v>Startup and tower-switch rows</x:v>
      </x:c>
      <x:c r="F9" s="24" t="str">
        <x:v>ACCEPTED</x:v>
      </x:c>
      <x:c r="G9" s="24" t="str">
        <x:v>8 startup plus 16 tower-switch rows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0e85bb1541e46ab"/>
  </x:tableParts>
</x:worksheet>
</file>