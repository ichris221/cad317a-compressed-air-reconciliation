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ad18a24d3a47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chronized_Trend" sheetId="1" r:id="Re2990bc25a304a4a"/>
    <x:sheet xmlns:r="http://schemas.openxmlformats.org/officeDocument/2006/relationships" name="Meter_Calibration" sheetId="2" r:id="Rc9b1279501e440ac"/>
    <x:sheet xmlns:r="http://schemas.openxmlformats.org/officeDocument/2006/relationships" name="Accepted_Summary" sheetId="3" r:id="R8d145b520b534e03"/>
    <x:sheet xmlns:r="http://schemas.openxmlformats.org/officeDocument/2006/relationships" name="Panel_Summary" sheetId="4" r:id="R5eb4378279e942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/>
    <x:border>
      <x:bottom style="thin">
        <x:color rgb="FF7F8C8D"/>
      </x:bottom>
    </x:border>
    <x:border>
      <x:bottom style="thin">
        <x:color rgb="FF7F8C8D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318f449ac24cb4" /><Relationship Type="http://schemas.openxmlformats.org/officeDocument/2006/relationships/theme" Target="/xl/theme/theme1.xml" Id="R6195c2619bbb4140" /><Relationship Type="http://schemas.openxmlformats.org/officeDocument/2006/relationships/sharedStrings" Target="/xl/sharedStrings.xml" Id="Rcb6f13cf4ef24a5a" /><Relationship Type="http://schemas.openxmlformats.org/officeDocument/2006/relationships/worksheet" Target="/xl/worksheets/sheet1.xml" Id="Re2990bc25a304a4a" /><Relationship Type="http://schemas.openxmlformats.org/officeDocument/2006/relationships/worksheet" Target="/xl/worksheets/sheet2.xml" Id="Rc9b1279501e440ac" /><Relationship Type="http://schemas.openxmlformats.org/officeDocument/2006/relationships/worksheet" Target="/xl/worksheets/sheet3.xml" Id="R8d145b520b534e03" /><Relationship Type="http://schemas.openxmlformats.org/officeDocument/2006/relationships/worksheet" Target="/xl/worksheets/sheet4.xml" Id="R5eb4378279e94222" /></Relationships>
</file>

<file path=xl/tables/table1.xml><?xml version="1.0" encoding="utf-8"?>
<x:table xmlns:x="http://schemas.openxmlformats.org/spreadsheetml/2006/main" id="1" name="PowerTrendTbl" displayName="PowerTrendTbl" ref="A3:J51" headerRowCount="1">
  <x:tableColumns count="10">
    <x:tableColumn id="1" name="sync_id"/>
    <x:tableColumn id="2" name="timestamp"/>
    <x:tableColumn id="3" name="raw_flow_scfm"/>
    <x:tableColumn id="4" name="accepted_factor"/>
    <x:tableColumn id="5" name="corrected_flow_scfm"/>
    <x:tableColumn id="6" name="motor_current_A"/>
    <x:tableColumn id="7" name="motor_power_kW"/>
    <x:tableColumn id="8" name="specific_power_kW_per_100_scfm"/>
    <x:tableColumn id="9" name="sync_status"/>
    <x:tableColumn id="10" name="source_note"/>
  </x:tableColumns>
  <x:tableStyleInfo name="TableStyleMedium2" showRowStripes="1"/>
</x:table>
</file>

<file path=xl/tables/table2.xml><?xml version="1.0" encoding="utf-8"?>
<x:table xmlns:x="http://schemas.openxmlformats.org/spreadsheetml/2006/main" id="2" name="MeterCalTbl" displayName="MeterCalTbl" ref="A3:F6" headerRowCount="1">
  <x:tableColumns count="6">
    <x:tableColumn id="1" name="calibration_id"/>
    <x:tableColumn id="2" name="meter"/>
    <x:tableColumn id="3" name="date"/>
    <x:tableColumn id="4" name="status"/>
    <x:tableColumn id="5" name="uncertainty_percent"/>
    <x:tableColumn id="6" name="note"/>
  </x:tableColumns>
  <x:tableStyleInfo name="TableStyleMedium2" showRowStripes="1"/>
</x:table>
</file>

<file path=xl/tables/table3.xml><?xml version="1.0" encoding="utf-8"?>
<x:table xmlns:x="http://schemas.openxmlformats.org/spreadsheetml/2006/main" id="3" name="AcceptedSummaryTbl" displayName="AcceptedSummaryTbl" ref="A3:G10" headerRowCount="1">
  <x:tableColumns count="7">
    <x:tableColumn id="1" name="summary_id"/>
    <x:tableColumn id="2" name="metric"/>
    <x:tableColumn id="3" name="accepted_value"/>
    <x:tableColumn id="4" name="unit"/>
    <x:tableColumn id="5" name="basis"/>
    <x:tableColumn id="6" name="status"/>
    <x:tableColumn id="7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PanelSummaryTbl" displayName="PanelSummaryTbl" ref="A3:F7" headerRowCount="1">
  <x:tableColumns count="6">
    <x:tableColumn id="1" name="summary_id"/>
    <x:tableColumn id="2" name="metric"/>
    <x:tableColumn id="3" name="reported_value"/>
    <x:tableColumn id="4" name="unit"/>
    <x:tableColumn id="5" name="calculation_issue"/>
    <x:tableColumn id="6" name="status"/>
  </x:tableColumns>
  <x:tableStyleInfo name="TableStyleMedium2" showRowStripes="1"/>
</x:table>
</file>

<file path=xl/theme/theme1.xml><?xml version="1.0" encoding="utf-8"?>
<a:theme xmlns:a="http://schemas.openxmlformats.org/drawingml/2006/main" name="PlantEngineering">
  <a:themeElements>
    <a:clrScheme name="PlantEngineerin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PlantEngineering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00542ccd7b49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44950a1ba64b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01e3bbe8e2942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cac1c7446bf4bb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5" hidden="0" customWidth="1"/>
    <x:col min="5" max="5" width="20" hidden="0" customWidth="1"/>
    <x:col min="6" max="6" width="16" hidden="0" customWidth="1"/>
    <x:col min="7" max="7" width="17" hidden="0" customWidth="1"/>
    <x:col min="8" max="8" width="26" hidden="0" customWidth="1"/>
    <x:col min="9" max="9" width="16" hidden="0" customWidth="1"/>
    <x:col min="10" max="10" width="35" hidden="0" customWidth="1"/>
  </x:cols>
  <x:sheetData>
    <x:row r="1" ht="24" customHeight="1">
      <x:c r="A1" s="5" t="str">
        <x:v>CA-D-317A Synchronized Flow, Current, and Power Trend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5" t="str">
        <x:v>sync_id</x:v>
      </x:c>
      <x:c r="B3" s="15" t="str">
        <x:v>timestamp</x:v>
      </x:c>
      <x:c r="C3" s="15" t="str">
        <x:v>raw_flow_scfm</x:v>
      </x:c>
      <x:c r="D3" s="15" t="str">
        <x:v>accepted_factor</x:v>
      </x:c>
      <x:c r="E3" s="15" t="str">
        <x:v>corrected_flow_scfm</x:v>
      </x:c>
      <x:c r="F3" s="15" t="str">
        <x:v>motor_current_A</x:v>
      </x:c>
      <x:c r="G3" s="15" t="str">
        <x:v>motor_power_kW</x:v>
      </x:c>
      <x:c r="H3" s="15" t="str">
        <x:v>specific_power_kW_per_100_scfm</x:v>
      </x:c>
      <x:c r="I3" s="15" t="str">
        <x:v>sync_status</x:v>
      </x:c>
      <x:c r="J3" s="15" t="str">
        <x:v>source_note</x:v>
      </x:c>
    </x:row>
    <x:row r="4">
      <x:c r="A4" s="24" t="str">
        <x:v>SYNC-001</x:v>
      </x:c>
      <x:c r="B4" s="24" t="str">
        <x:v>2026-06-21T00:00</x:v>
      </x:c>
      <x:c r="C4" s="26" t="n">
        <x:v>1607.2</x:v>
      </x:c>
      <x:c r="D4" s="26" t="n">
        <x:v>0.986</x:v>
      </x:c>
      <x:c r="E4" s="26" t="n">
        <x:f>C4*D4</x:f>
        <x:v>1584.6992</x:v>
      </x:c>
      <x:c r="F4" s="26" t="n">
        <x:v>373.8</x:v>
      </x:c>
      <x:c r="G4" s="26" t="n">
        <x:v>238.2</x:v>
      </x:c>
      <x:c r="H4" s="26" t="n">
        <x:f>G4/(E4/100)</x:f>
        <x:v>15.03124378430935</x:v>
      </x:c>
      <x:c r="I4" s="24" t="str">
        <x:v>ACCEPTED</x:v>
      </x:c>
      <x:c r="J4" s="24" t="str">
        <x:v>Timestamp matched to shift log SAL-001</x:v>
      </x:c>
    </x:row>
    <x:row r="5">
      <x:c r="A5" s="24" t="str">
        <x:v>SYNC-002</x:v>
      </x:c>
      <x:c r="B5" s="24" t="str">
        <x:v>2026-06-21T01:00</x:v>
      </x:c>
      <x:c r="C5" s="26" t="n">
        <x:v>1616.3</x:v>
      </x:c>
      <x:c r="D5" s="26" t="n">
        <x:v>0.986</x:v>
      </x:c>
      <x:c r="E5" s="26" t="n">
        <x:f>C5*D5</x:f>
        <x:v>1593.6717999999998</x:v>
      </x:c>
      <x:c r="F5" s="26" t="n">
        <x:v>378.8</x:v>
      </x:c>
      <x:c r="G5" s="26" t="n">
        <x:v>240.4</x:v>
      </x:c>
      <x:c r="H5" s="26" t="n">
        <x:f>G5/(E5/100)</x:f>
        <x:v>15.08466172269598</x:v>
      </x:c>
      <x:c r="I5" s="24" t="str">
        <x:v>ACCEPTED</x:v>
      </x:c>
      <x:c r="J5" s="24" t="str">
        <x:v>Timestamp matched to shift log SAL-002</x:v>
      </x:c>
    </x:row>
    <x:row r="6">
      <x:c r="A6" s="24" t="str">
        <x:v>SYNC-003</x:v>
      </x:c>
      <x:c r="B6" s="24" t="str">
        <x:v>2026-06-21T02:00</x:v>
      </x:c>
      <x:c r="C6" s="26" t="n">
        <x:v>1622.2</x:v>
      </x:c>
      <x:c r="D6" s="26" t="n">
        <x:v>0.986</x:v>
      </x:c>
      <x:c r="E6" s="26" t="n">
        <x:f>C6*D6</x:f>
        <x:v>1599.4892</x:v>
      </x:c>
      <x:c r="F6" s="26" t="n">
        <x:v>379.9</x:v>
      </x:c>
      <x:c r="G6" s="26" t="n">
        <x:v>241.8</x:v>
      </x:c>
      <x:c r="H6" s="26" t="n">
        <x:f>G6/(E6/100)</x:f>
        <x:v>15.117326206391391</x:v>
      </x:c>
      <x:c r="I6" s="24" t="str">
        <x:v>ACCEPTED</x:v>
      </x:c>
      <x:c r="J6" s="24" t="str">
        <x:v>Timestamp matched to shift log SAL-003</x:v>
      </x:c>
    </x:row>
    <x:row r="7">
      <x:c r="A7" s="24" t="str">
        <x:v>SYNC-004</x:v>
      </x:c>
      <x:c r="B7" s="24" t="str">
        <x:v>2026-06-21T03:00</x:v>
      </x:c>
      <x:c r="C7" s="26" t="n">
        <x:v>1624.1</x:v>
      </x:c>
      <x:c r="D7" s="26" t="n">
        <x:v>0.986</x:v>
      </x:c>
      <x:c r="E7" s="26" t="n">
        <x:f>C7*D7</x:f>
        <x:v>1601.3626</x:v>
      </x:c>
      <x:c r="F7" s="26" t="n">
        <x:v>377</x:v>
      </x:c>
      <x:c r="G7" s="26" t="n">
        <x:v>241.8</x:v>
      </x:c>
      <x:c r="H7" s="26" t="n">
        <x:f>G7/(E7/100)</x:f>
        <x:v>15.099640768430588</x:v>
      </x:c>
      <x:c r="I7" s="24" t="str">
        <x:v>ACCEPTED</x:v>
      </x:c>
      <x:c r="J7" s="24" t="str">
        <x:v>Timestamp matched to shift log SAL-004</x:v>
      </x:c>
    </x:row>
    <x:row r="8">
      <x:c r="A8" s="24" t="str">
        <x:v>SYNC-005</x:v>
      </x:c>
      <x:c r="B8" s="24" t="str">
        <x:v>2026-06-21T04:00</x:v>
      </x:c>
      <x:c r="C8" s="26" t="n">
        <x:v>1622.9</x:v>
      </x:c>
      <x:c r="D8" s="26" t="n">
        <x:v>0.986</x:v>
      </x:c>
      <x:c r="E8" s="26" t="n">
        <x:f>C8*D8</x:f>
        <x:v>1600.1794</x:v>
      </x:c>
      <x:c r="F8" s="26" t="n">
        <x:v>373.4</x:v>
      </x:c>
      <x:c r="G8" s="26" t="n">
        <x:v>240.9</x:v>
      </x:c>
      <x:c r="H8" s="26" t="n">
        <x:f>G8/(E8/100)</x:f>
        <x:v>15.054562007234939</x:v>
      </x:c>
      <x:c r="I8" s="24" t="str">
        <x:v>ACCEPTED</x:v>
      </x:c>
      <x:c r="J8" s="24" t="str">
        <x:v>Timestamp matched to shift log SAL-005</x:v>
      </x:c>
    </x:row>
    <x:row r="9">
      <x:c r="A9" s="24" t="str">
        <x:v>SYNC-006</x:v>
      </x:c>
      <x:c r="B9" s="24" t="str">
        <x:v>2026-06-21T05:00</x:v>
      </x:c>
      <x:c r="C9" s="26" t="n">
        <x:v>1616.9</x:v>
      </x:c>
      <x:c r="D9" s="26" t="n">
        <x:v>0.986</x:v>
      </x:c>
      <x:c r="E9" s="26" t="n">
        <x:f>C9*D9</x:f>
        <x:v>1594.2634</x:v>
      </x:c>
      <x:c r="F9" s="26" t="n">
        <x:v>372.7</x:v>
      </x:c>
      <x:c r="G9" s="26" t="n">
        <x:v>239.6</x:v>
      </x:c>
      <x:c r="H9" s="26" t="n">
        <x:f>G9/(E9/100)</x:f>
        <x:v>15.028884185637079</x:v>
      </x:c>
      <x:c r="I9" s="24" t="str">
        <x:v>ACCEPTED</x:v>
      </x:c>
      <x:c r="J9" s="24" t="str">
        <x:v>Timestamp matched to shift log SAL-006</x:v>
      </x:c>
    </x:row>
    <x:row r="10">
      <x:c r="A10" s="24" t="str">
        <x:v>SYNC-007</x:v>
      </x:c>
      <x:c r="B10" s="24" t="str">
        <x:v>2026-06-21T06:00</x:v>
      </x:c>
      <x:c r="C10" s="26" t="n">
        <x:v>1616.4</x:v>
      </x:c>
      <x:c r="D10" s="26" t="n">
        <x:v>0.986</x:v>
      </x:c>
      <x:c r="E10" s="26" t="n">
        <x:f>C10*D10</x:f>
        <x:v>1593.7704</x:v>
      </x:c>
      <x:c r="F10" s="26" t="n">
        <x:v>374.9</x:v>
      </x:c>
      <x:c r="G10" s="26" t="n">
        <x:v>238.7</x:v>
      </x:c>
      <x:c r="H10" s="26" t="n">
        <x:f>G10/(E10/100)</x:f>
        <x:v>14.977063195551878</x:v>
      </x:c>
      <x:c r="I10" s="24" t="str">
        <x:v>ACCEPTED</x:v>
      </x:c>
      <x:c r="J10" s="24" t="str">
        <x:v>Timestamp matched to shift log SAL-007</x:v>
      </x:c>
    </x:row>
    <x:row r="11">
      <x:c r="A11" s="24" t="str">
        <x:v>SYNC-008</x:v>
      </x:c>
      <x:c r="B11" s="24" t="str">
        <x:v>2026-06-21T07:00</x:v>
      </x:c>
      <x:c r="C11" s="26" t="n">
        <x:v>1584</x:v>
      </x:c>
      <x:c r="D11" s="26" t="n">
        <x:v>0.986</x:v>
      </x:c>
      <x:c r="E11" s="26" t="n">
        <x:f>C11*D11</x:f>
        <x:v>1561.824</x:v>
      </x:c>
      <x:c r="F11" s="26" t="n">
        <x:v>376.6</x:v>
      </x:c>
      <x:c r="G11" s="26" t="n">
        <x:v>238.7</x:v>
      </x:c>
      <x:c r="H11" s="26" t="n">
        <x:f>G11/(E11/100)</x:f>
        <x:v>15.283412215460896</x:v>
      </x:c>
      <x:c r="I11" s="24" t="str">
        <x:v>ACCEPTED</x:v>
      </x:c>
      <x:c r="J11" s="24" t="str">
        <x:v>Timestamp matched to shift log SAL-008</x:v>
      </x:c>
    </x:row>
    <x:row r="12">
      <x:c r="A12" s="24" t="str">
        <x:v>SYNC-009</x:v>
      </x:c>
      <x:c r="B12" s="24" t="str">
        <x:v>2026-06-21T08:00</x:v>
      </x:c>
      <x:c r="C12" s="26" t="n">
        <x:v>1622.1</x:v>
      </x:c>
      <x:c r="D12" s="26" t="n">
        <x:v>0.986</x:v>
      </x:c>
      <x:c r="E12" s="26" t="n">
        <x:f>C12*D12</x:f>
        <x:v>1599.3906</x:v>
      </x:c>
      <x:c r="F12" s="26" t="n">
        <x:v>374.5</x:v>
      </x:c>
      <x:c r="G12" s="26" t="n">
        <x:v>239.1</x:v>
      </x:c>
      <x:c r="H12" s="26" t="n">
        <x:f>G12/(E12/100)</x:f>
        <x:v>14.949443869433772</x:v>
      </x:c>
      <x:c r="I12" s="24" t="str">
        <x:v>ACCEPTED</x:v>
      </x:c>
      <x:c r="J12" s="24" t="str">
        <x:v>Timestamp matched to shift log SAL-009</x:v>
      </x:c>
    </x:row>
    <x:row r="13">
      <x:c r="A13" s="24" t="str">
        <x:v>SYNC-010</x:v>
      </x:c>
      <x:c r="B13" s="24" t="str">
        <x:v>2026-06-21T09:00</x:v>
      </x:c>
      <x:c r="C13" s="26" t="n">
        <x:v>1624.9</x:v>
      </x:c>
      <x:c r="D13" s="26" t="n">
        <x:v>0.986</x:v>
      </x:c>
      <x:c r="E13" s="26" t="n">
        <x:f>C13*D13</x:f>
        <x:v>1602.1514</x:v>
      </x:c>
      <x:c r="F13" s="26" t="n">
        <x:v>368.8</x:v>
      </x:c>
      <x:c r="G13" s="26" t="n">
        <x:v>239.4</x:v>
      </x:c>
      <x:c r="H13" s="26" t="n">
        <x:f>G13/(E13/100)</x:f>
        <x:v>14.942408064556197</x:v>
      </x:c>
      <x:c r="I13" s="24" t="str">
        <x:v>ACCEPTED</x:v>
      </x:c>
      <x:c r="J13" s="24" t="str">
        <x:v>Timestamp matched to shift log SAL-010</x:v>
      </x:c>
    </x:row>
    <x:row r="14">
      <x:c r="A14" s="24" t="str">
        <x:v>SYNC-011</x:v>
      </x:c>
      <x:c r="B14" s="24" t="str">
        <x:v>2026-06-21T10:00</x:v>
      </x:c>
      <x:c r="C14" s="26" t="n">
        <x:v>1620.6</x:v>
      </x:c>
      <x:c r="D14" s="26" t="n">
        <x:v>0.986</x:v>
      </x:c>
      <x:c r="E14" s="26" t="n">
        <x:f>C14*D14</x:f>
        <x:v>1597.9116</x:v>
      </x:c>
      <x:c r="F14" s="26" t="n">
        <x:v>363</x:v>
      </x:c>
      <x:c r="G14" s="26" t="n">
        <x:v>238.8</x:v>
      </x:c>
      <x:c r="H14" s="26" t="n">
        <x:f>G14/(E14/100)</x:f>
        <x:v>14.944506316870095</x:v>
      </x:c>
      <x:c r="I14" s="24" t="str">
        <x:v>ACCEPTED</x:v>
      </x:c>
      <x:c r="J14" s="24" t="str">
        <x:v>Timestamp matched to shift log SAL-011</x:v>
      </x:c>
    </x:row>
    <x:row r="15">
      <x:c r="A15" s="24" t="str">
        <x:v>SYNC-012</x:v>
      </x:c>
      <x:c r="B15" s="24" t="str">
        <x:v>2026-06-21T11:00</x:v>
      </x:c>
      <x:c r="C15" s="26" t="n">
        <x:v>1616.3</x:v>
      </x:c>
      <x:c r="D15" s="26" t="n">
        <x:v>0.986</x:v>
      </x:c>
      <x:c r="E15" s="26" t="n">
        <x:f>C15*D15</x:f>
        <x:v>1593.6717999999998</x:v>
      </x:c>
      <x:c r="F15" s="26" t="n">
        <x:v>360.7</x:v>
      </x:c>
      <x:c r="G15" s="26" t="n">
        <x:v>237.1</x:v>
      </x:c>
      <x:c r="H15" s="26" t="n">
        <x:f>G15/(E15/100)</x:f>
        <x:v>14.877592738981766</x:v>
      </x:c>
      <x:c r="I15" s="24" t="str">
        <x:v>ACCEPTED</x:v>
      </x:c>
      <x:c r="J15" s="24" t="str">
        <x:v>Timestamp matched to shift log SAL-012</x:v>
      </x:c>
    </x:row>
    <x:row r="16">
      <x:c r="A16" s="24" t="str">
        <x:v>SYNC-013</x:v>
      </x:c>
      <x:c r="B16" s="24" t="str">
        <x:v>2026-06-21T12:00</x:v>
      </x:c>
      <x:c r="C16" s="26" t="n">
        <x:v>1609.2</x:v>
      </x:c>
      <x:c r="D16" s="26" t="n">
        <x:v>0.986</x:v>
      </x:c>
      <x:c r="E16" s="26" t="n">
        <x:f>C16*D16</x:f>
        <x:v>1586.6712</x:v>
      </x:c>
      <x:c r="F16" s="26" t="n">
        <x:v>362.2</x:v>
      </x:c>
      <x:c r="G16" s="26" t="n">
        <x:v>234.6</x:v>
      </x:c>
      <x:c r="H16" s="26" t="n">
        <x:f>G16/(E16/100)</x:f>
        <x:v>14.785672040937026</x:v>
      </x:c>
      <x:c r="I16" s="24" t="str">
        <x:v>ACCEPTED</x:v>
      </x:c>
      <x:c r="J16" s="24" t="str">
        <x:v>Timestamp matched to shift log SAL-013</x:v>
      </x:c>
    </x:row>
    <x:row r="17">
      <x:c r="A17" s="24" t="str">
        <x:v>SYNC-014</x:v>
      </x:c>
      <x:c r="B17" s="24" t="str">
        <x:v>2026-06-21T13:00</x:v>
      </x:c>
      <x:c r="C17" s="26" t="n">
        <x:v>1602.1</x:v>
      </x:c>
      <x:c r="D17" s="26" t="n">
        <x:v>0.986</x:v>
      </x:c>
      <x:c r="E17" s="26" t="n">
        <x:f>C17*D17</x:f>
        <x:v>1579.6706</x:v>
      </x:c>
      <x:c r="F17" s="26" t="n">
        <x:v>364.1</x:v>
      </x:c>
      <x:c r="G17" s="26" t="n">
        <x:v>232.4</x:v>
      </x:c>
      <x:c r="H17" s="26" t="n">
        <x:f>G17/(E17/100)</x:f>
        <x:v>14.71192791712399</x:v>
      </x:c>
      <x:c r="I17" s="24" t="str">
        <x:v>ACCEPTED</x:v>
      </x:c>
      <x:c r="J17" s="24" t="str">
        <x:v>Timestamp matched to shift log SAL-014</x:v>
      </x:c>
    </x:row>
    <x:row r="18">
      <x:c r="A18" s="24" t="str">
        <x:v>SYNC-015</x:v>
      </x:c>
      <x:c r="B18" s="24" t="str">
        <x:v>2026-06-21T14:00</x:v>
      </x:c>
      <x:c r="C18" s="26" t="n">
        <x:v>1597.8</x:v>
      </x:c>
      <x:c r="D18" s="26" t="n">
        <x:v>0.986</x:v>
      </x:c>
      <x:c r="E18" s="26" t="n">
        <x:f>C18*D18</x:f>
        <x:v>1575.4307999999999</x:v>
      </x:c>
      <x:c r="F18" s="26" t="n">
        <x:v>363</x:v>
      </x:c>
      <x:c r="G18" s="26" t="n">
        <x:v>231</x:v>
      </x:c>
      <x:c r="H18" s="26" t="n">
        <x:f>G18/(E18/100)</x:f>
        <x:v>14.662656081117623</x:v>
      </x:c>
      <x:c r="I18" s="24" t="str">
        <x:v>ACCEPTED</x:v>
      </x:c>
      <x:c r="J18" s="24" t="str">
        <x:v>Timestamp matched to shift log SAL-015</x:v>
      </x:c>
    </x:row>
    <x:row r="19">
      <x:c r="A19" s="24" t="str">
        <x:v>SYNC-016</x:v>
      </x:c>
      <x:c r="B19" s="24" t="str">
        <x:v>2026-06-21T15:00</x:v>
      </x:c>
      <x:c r="C19" s="26" t="n">
        <x:v>1593.5</x:v>
      </x:c>
      <x:c r="D19" s="26" t="n">
        <x:v>0.986</x:v>
      </x:c>
      <x:c r="E19" s="26" t="n">
        <x:f>C19*D19</x:f>
        <x:v>1571.191</x:v>
      </x:c>
      <x:c r="F19" s="26" t="n">
        <x:v>359</x:v>
      </x:c>
      <x:c r="G19" s="26" t="n">
        <x:v>231</x:v>
      </x:c>
      <x:c r="H19" s="26" t="n">
        <x:f>G19/(E19/100)</x:f>
        <x:v>14.702222708760425</x:v>
      </x:c>
      <x:c r="I19" s="24" t="str">
        <x:v>ACCEPTED</x:v>
      </x:c>
      <x:c r="J19" s="24" t="str">
        <x:v>Timestamp matched to shift log SAL-016</x:v>
      </x:c>
    </x:row>
    <x:row r="20">
      <x:c r="A20" s="24" t="str">
        <x:v>SYNC-017</x:v>
      </x:c>
      <x:c r="B20" s="24" t="str">
        <x:v>2026-06-21T16:00</x:v>
      </x:c>
      <x:c r="C20" s="26" t="n">
        <x:v>1596.3</x:v>
      </x:c>
      <x:c r="D20" s="26" t="n">
        <x:v>0.986</x:v>
      </x:c>
      <x:c r="E20" s="26" t="n">
        <x:f>C20*D20</x:f>
        <x:v>1573.9518</x:v>
      </x:c>
      <x:c r="F20" s="26" t="n">
        <x:v>355.7</x:v>
      </x:c>
      <x:c r="G20" s="26" t="n">
        <x:v>231.9</x:v>
      </x:c>
      <x:c r="H20" s="26" t="n">
        <x:f>G20/(E20/100)</x:f>
        <x:v>14.733615095455908</x:v>
      </x:c>
      <x:c r="I20" s="24" t="str">
        <x:v>ACCEPTED</x:v>
      </x:c>
      <x:c r="J20" s="24" t="str">
        <x:v>Timestamp matched to shift log SAL-017</x:v>
      </x:c>
    </x:row>
    <x:row r="21">
      <x:c r="A21" s="24" t="str">
        <x:v>SYNC-018</x:v>
      </x:c>
      <x:c r="B21" s="24" t="str">
        <x:v>2026-06-21T17:00</x:v>
      </x:c>
      <x:c r="C21" s="26" t="n">
        <x:v>1599.9</x:v>
      </x:c>
      <x:c r="D21" s="26" t="n">
        <x:v>0.986</x:v>
      </x:c>
      <x:c r="E21" s="26" t="n">
        <x:f>C21*D21</x:f>
        <x:v>1577.5014</x:v>
      </x:c>
      <x:c r="F21" s="26" t="n">
        <x:v>356.4</x:v>
      </x:c>
      <x:c r="G21" s="26" t="n">
        <x:v>233.2</x:v>
      </x:c>
      <x:c r="H21" s="26" t="n">
        <x:f>G21/(E21/100)</x:f>
        <x:v>14.78287119111273</x:v>
      </x:c>
      <x:c r="I21" s="24" t="str">
        <x:v>ACCEPTED</x:v>
      </x:c>
      <x:c r="J21" s="24" t="str">
        <x:v>Timestamp matched to shift log SAL-018</x:v>
      </x:c>
    </x:row>
    <x:row r="22">
      <x:c r="A22" s="24" t="str">
        <x:v>SYNC-019</x:v>
      </x:c>
      <x:c r="B22" s="24" t="str">
        <x:v>2026-06-21T18:00</x:v>
      </x:c>
      <x:c r="C22" s="26" t="n">
        <x:v>1602</x:v>
      </x:c>
      <x:c r="D22" s="26" t="n">
        <x:v>0.986</x:v>
      </x:c>
      <x:c r="E22" s="26" t="n">
        <x:f>C22*D22</x:f>
        <x:v>1579.572</x:v>
      </x:c>
      <x:c r="F22" s="26" t="n">
        <x:v>361.1</x:v>
      </x:c>
      <x:c r="G22" s="26" t="n">
        <x:v>234.1</x:v>
      </x:c>
      <x:c r="H22" s="26" t="n">
        <x:f>G22/(E22/100)</x:f>
        <x:v>14.820470355260792</x:v>
      </x:c>
      <x:c r="I22" s="24" t="str">
        <x:v>ACCEPTED</x:v>
      </x:c>
      <x:c r="J22" s="24" t="str">
        <x:v>Timestamp matched to shift log SAL-019</x:v>
      </x:c>
    </x:row>
    <x:row r="23">
      <x:c r="A23" s="24" t="str">
        <x:v>SYNC-020</x:v>
      </x:c>
      <x:c r="B23" s="24" t="str">
        <x:v>2026-06-21T19:00</x:v>
      </x:c>
      <x:c r="C23" s="26" t="n">
        <x:v>1601.5</x:v>
      </x:c>
      <x:c r="D23" s="26" t="n">
        <x:v>0.986</x:v>
      </x:c>
      <x:c r="E23" s="26" t="n">
        <x:f>C23*D23</x:f>
        <x:v>1579.079</x:v>
      </x:c>
      <x:c r="F23" s="26" t="n">
        <x:v>366.3</x:v>
      </x:c>
      <x:c r="G23" s="26" t="n">
        <x:v>234.1</x:v>
      </x:c>
      <x:c r="H23" s="26" t="n">
        <x:f>G23/(E23/100)</x:f>
        <x:v>14.825097414378888</x:v>
      </x:c>
      <x:c r="I23" s="24" t="str">
        <x:v>ACCEPTED</x:v>
      </x:c>
      <x:c r="J23" s="24" t="str">
        <x:v>Timestamp matched to shift log SAL-020</x:v>
      </x:c>
    </x:row>
    <x:row r="24">
      <x:c r="A24" s="24" t="str">
        <x:v>SYNC-021</x:v>
      </x:c>
      <x:c r="B24" s="24" t="str">
        <x:v>2026-06-21T20:00</x:v>
      </x:c>
      <x:c r="C24" s="26" t="n">
        <x:v>1595.5</x:v>
      </x:c>
      <x:c r="D24" s="26" t="n">
        <x:v>0.986</x:v>
      </x:c>
      <x:c r="E24" s="26" t="n">
        <x:f>C24*D24</x:f>
        <x:v>1573.163</x:v>
      </x:c>
      <x:c r="F24" s="26" t="n">
        <x:v>368.4</x:v>
      </x:c>
      <x:c r="G24" s="26" t="n">
        <x:v>233.7</x:v>
      </x:c>
      <x:c r="H24" s="26" t="n">
        <x:f>G24/(E24/100)</x:f>
        <x:v>14.85542184757714</x:v>
      </x:c>
      <x:c r="I24" s="24" t="str">
        <x:v>ACCEPTED</x:v>
      </x:c>
      <x:c r="J24" s="24" t="str">
        <x:v>Timestamp matched to shift log SAL-021</x:v>
      </x:c>
    </x:row>
    <x:row r="25">
      <x:c r="A25" s="24" t="str">
        <x:v>SYNC-022</x:v>
      </x:c>
      <x:c r="B25" s="24" t="str">
        <x:v>2026-06-21T21:00</x:v>
      </x:c>
      <x:c r="C25" s="26" t="n">
        <x:v>1594.3</x:v>
      </x:c>
      <x:c r="D25" s="26" t="n">
        <x:v>0.986</x:v>
      </x:c>
      <x:c r="E25" s="26" t="n">
        <x:f>C25*D25</x:f>
        <x:v>1571.9797999999998</x:v>
      </x:c>
      <x:c r="F25" s="26" t="n">
        <x:v>367.2</x:v>
      </x:c>
      <x:c r="G25" s="26" t="n">
        <x:v>233.4</x:v>
      </x:c>
      <x:c r="H25" s="26" t="n">
        <x:f>G25/(E25/100)</x:f>
        <x:v>14.847519033005387</x:v>
      </x:c>
      <x:c r="I25" s="24" t="str">
        <x:v>ACCEPTED</x:v>
      </x:c>
      <x:c r="J25" s="24" t="str">
        <x:v>Timestamp matched to shift log SAL-022</x:v>
      </x:c>
    </x:row>
    <x:row r="26">
      <x:c r="A26" s="24" t="str">
        <x:v>SYNC-023</x:v>
      </x:c>
      <x:c r="B26" s="24" t="str">
        <x:v>2026-06-21T22:00</x:v>
      </x:c>
      <x:c r="C26" s="26" t="n">
        <x:v>1596.2</x:v>
      </x:c>
      <x:c r="D26" s="26" t="n">
        <x:v>0.986</x:v>
      </x:c>
      <x:c r="E26" s="26" t="n">
        <x:f>C26*D26</x:f>
        <x:v>1573.8532</x:v>
      </x:c>
      <x:c r="F26" s="26" t="n">
        <x:v>366.1</x:v>
      </x:c>
      <x:c r="G26" s="26" t="n">
        <x:v>234</x:v>
      </x:c>
      <x:c r="H26" s="26" t="n">
        <x:f>G26/(E26/100)</x:f>
        <x:v>14.86796862629882</x:v>
      </x:c>
      <x:c r="I26" s="24" t="str">
        <x:v>ACCEPTED</x:v>
      </x:c>
      <x:c r="J26" s="24" t="str">
        <x:v>Timestamp matched to shift log SAL-023</x:v>
      </x:c>
    </x:row>
    <x:row r="27">
      <x:c r="A27" s="24" t="str">
        <x:v>SYNC-024</x:v>
      </x:c>
      <x:c r="B27" s="24" t="str">
        <x:v>2026-06-21T23:00</x:v>
      </x:c>
      <x:c r="C27" s="26" t="n">
        <x:v>1602.1</x:v>
      </x:c>
      <x:c r="D27" s="26" t="n">
        <x:v>0.986</x:v>
      </x:c>
      <x:c r="E27" s="26" t="n">
        <x:f>C27*D27</x:f>
        <x:v>1579.6706</x:v>
      </x:c>
      <x:c r="F27" s="26" t="n">
        <x:v>368.4</x:v>
      </x:c>
      <x:c r="G27" s="26" t="n">
        <x:v>235.7</x:v>
      </x:c>
      <x:c r="H27" s="26" t="n">
        <x:f>G27/(E27/100)</x:f>
        <x:v>14.92083222920019</x:v>
      </x:c>
      <x:c r="I27" s="24" t="str">
        <x:v>ACCEPTED</x:v>
      </x:c>
      <x:c r="J27" s="24" t="str">
        <x:v>Timestamp matched to shift log SAL-024</x:v>
      </x:c>
    </x:row>
    <x:row r="28">
      <x:c r="A28" s="24" t="str">
        <x:v>SYNC-025</x:v>
      </x:c>
      <x:c r="B28" s="24" t="str">
        <x:v>2026-06-22T00:00</x:v>
      </x:c>
      <x:c r="C28" s="26" t="n">
        <x:v>1610.8</x:v>
      </x:c>
      <x:c r="D28" s="26" t="n">
        <x:v>0.986</x:v>
      </x:c>
      <x:c r="E28" s="26" t="n">
        <x:f>C28*D28</x:f>
        <x:v>1588.2487999999998</x:v>
      </x:c>
      <x:c r="F28" s="26" t="n">
        <x:v>373.8</x:v>
      </x:c>
      <x:c r="G28" s="26" t="n">
        <x:v>238.2</x:v>
      </x:c>
      <x:c r="H28" s="26" t="n">
        <x:f>G28/(E28/100)</x:f>
        <x:v>14.997650242203868</x:v>
      </x:c>
      <x:c r="I28" s="24" t="str">
        <x:v>ACCEPTED</x:v>
      </x:c>
      <x:c r="J28" s="24" t="str">
        <x:v>Timestamp matched to shift log SAL-025</x:v>
      </x:c>
    </x:row>
    <x:row r="29">
      <x:c r="A29" s="24" t="str">
        <x:v>SYNC-026</x:v>
      </x:c>
      <x:c r="B29" s="24" t="str">
        <x:v>2026-06-22T01:00</x:v>
      </x:c>
      <x:c r="C29" s="26" t="n">
        <x:v>1615.5</x:v>
      </x:c>
      <x:c r="D29" s="26" t="n">
        <x:v>0.986</x:v>
      </x:c>
      <x:c r="E29" s="26" t="n">
        <x:f>C29*D29</x:f>
        <x:v>1592.883</x:v>
      </x:c>
      <x:c r="F29" s="26" t="n">
        <x:v>378.8</x:v>
      </x:c>
      <x:c r="G29" s="26" t="n">
        <x:v>240.4</x:v>
      </x:c>
      <x:c r="H29" s="26" t="n">
        <x:f>G29/(E29/100)</x:f>
        <x:v>15.092131688265868</x:v>
      </x:c>
      <x:c r="I29" s="24" t="str">
        <x:v>ACCEPTED</x:v>
      </x:c>
      <x:c r="J29" s="24" t="str">
        <x:v>Timestamp matched to shift log SAL-026</x:v>
      </x:c>
    </x:row>
    <x:row r="30">
      <x:c r="A30" s="24" t="str">
        <x:v>SYNC-027</x:v>
      </x:c>
      <x:c r="B30" s="24" t="str">
        <x:v>2026-06-22T02:00</x:v>
      </x:c>
      <x:c r="C30" s="26" t="n">
        <x:v>1621.4</x:v>
      </x:c>
      <x:c r="D30" s="26" t="n">
        <x:v>0.986</x:v>
      </x:c>
      <x:c r="E30" s="26" t="n">
        <x:f>C30*D30</x:f>
        <x:v>1598.7004000000002</x:v>
      </x:c>
      <x:c r="F30" s="26" t="n">
        <x:v>379.9</x:v>
      </x:c>
      <x:c r="G30" s="26" t="n">
        <x:v>241.8</x:v>
      </x:c>
      <x:c r="H30" s="26" t="n">
        <x:f>G30/(E30/100)</x:f>
        <x:v>15.124785106702918</x:v>
      </x:c>
      <x:c r="I30" s="24" t="str">
        <x:v>ACCEPTED</x:v>
      </x:c>
      <x:c r="J30" s="24" t="str">
        <x:v>Timestamp matched to shift log SAL-027</x:v>
      </x:c>
    </x:row>
    <x:row r="31">
      <x:c r="A31" s="24" t="str">
        <x:v>SYNC-028</x:v>
      </x:c>
      <x:c r="B31" s="24" t="str">
        <x:v>2026-06-22T03:00</x:v>
      </x:c>
      <x:c r="C31" s="26" t="n">
        <x:v>1623.3</x:v>
      </x:c>
      <x:c r="D31" s="26" t="n">
        <x:v>0.986</x:v>
      </x:c>
      <x:c r="E31" s="26" t="n">
        <x:f>C31*D31</x:f>
        <x:v>1600.5738</x:v>
      </x:c>
      <x:c r="F31" s="26" t="n">
        <x:v>377</x:v>
      </x:c>
      <x:c r="G31" s="26" t="n">
        <x:v>241.8</x:v>
      </x:c>
      <x:c r="H31" s="26" t="n">
        <x:f>G31/(E31/100)</x:f>
        <x:v>15.10708222263791</x:v>
      </x:c>
      <x:c r="I31" s="24" t="str">
        <x:v>ACCEPTED</x:v>
      </x:c>
      <x:c r="J31" s="24" t="str">
        <x:v>Timestamp matched to shift log SAL-028</x:v>
      </x:c>
    </x:row>
    <x:row r="32">
      <x:c r="A32" s="24" t="str">
        <x:v>SYNC-029</x:v>
      </x:c>
      <x:c r="B32" s="24" t="str">
        <x:v>2026-06-22T04:00</x:v>
      </x:c>
      <x:c r="C32" s="26" t="n">
        <x:v>1622.1</x:v>
      </x:c>
      <x:c r="D32" s="26" t="n">
        <x:v>0.986</x:v>
      </x:c>
      <x:c r="E32" s="26" t="n">
        <x:f>C32*D32</x:f>
        <x:v>1599.3906</x:v>
      </x:c>
      <x:c r="F32" s="26" t="n">
        <x:v>373.4</x:v>
      </x:c>
      <x:c r="G32" s="26" t="n">
        <x:v>240.9</x:v>
      </x:c>
      <x:c r="H32" s="26" t="n">
        <x:f>G32/(E32/100)</x:f>
        <x:v>15.061986734197388</x:v>
      </x:c>
      <x:c r="I32" s="24" t="str">
        <x:v>ACCEPTED</x:v>
      </x:c>
      <x:c r="J32" s="24" t="str">
        <x:v>Timestamp matched to shift log SAL-029</x:v>
      </x:c>
    </x:row>
    <x:row r="33">
      <x:c r="A33" s="24" t="str">
        <x:v>SYNC-030</x:v>
      </x:c>
      <x:c r="B33" s="24" t="str">
        <x:v>2026-06-22T05:00</x:v>
      </x:c>
      <x:c r="C33" s="26" t="n">
        <x:v>1620.1</x:v>
      </x:c>
      <x:c r="D33" s="26" t="n">
        <x:v>0.986</x:v>
      </x:c>
      <x:c r="E33" s="26" t="n">
        <x:f>C33*D33</x:f>
        <x:v>1597.4186</x:v>
      </x:c>
      <x:c r="F33" s="26" t="n">
        <x:v>372.7</x:v>
      </x:c>
      <x:c r="G33" s="26" t="n">
        <x:v>239.6</x:v>
      </x:c>
      <x:c r="H33" s="26" t="n">
        <x:f>G33/(E33/100)</x:f>
        <x:v>14.99919933322424</x:v>
      </x:c>
      <x:c r="I33" s="24" t="str">
        <x:v>ACCEPTED</x:v>
      </x:c>
      <x:c r="J33" s="24" t="str">
        <x:v>Timestamp matched to shift log SAL-030</x:v>
      </x:c>
    </x:row>
    <x:row r="34">
      <x:c r="A34" s="24" t="str">
        <x:v>SYNC-031</x:v>
      </x:c>
      <x:c r="B34" s="24" t="str">
        <x:v>2026-06-22T06:00</x:v>
      </x:c>
      <x:c r="C34" s="26" t="n">
        <x:v>1615.6</x:v>
      </x:c>
      <x:c r="D34" s="26" t="n">
        <x:v>0.986</x:v>
      </x:c>
      <x:c r="E34" s="26" t="n">
        <x:f>C34*D34</x:f>
        <x:v>1592.9815999999998</x:v>
      </x:c>
      <x:c r="F34" s="26" t="n">
        <x:v>382.6</x:v>
      </x:c>
      <x:c r="G34" s="26" t="n">
        <x:v>238.7</x:v>
      </x:c>
      <x:c r="H34" s="26" t="n">
        <x:f>G34/(E34/100)</x:f>
        <x:v>14.984479418971318</x:v>
      </x:c>
      <x:c r="I34" s="24" t="str">
        <x:v>ACCEPTED</x:v>
      </x:c>
      <x:c r="J34" s="24" t="str">
        <x:v>Timestamp matched to shift log SAL-031</x:v>
      </x:c>
    </x:row>
    <x:row r="35">
      <x:c r="A35" s="24" t="str">
        <x:v>SYNC-032</x:v>
      </x:c>
      <x:c r="B35" s="24" t="str">
        <x:v>2026-06-22T07:00</x:v>
      </x:c>
      <x:c r="C35" s="26" t="n">
        <x:v>1632</x:v>
      </x:c>
      <x:c r="D35" s="26" t="n">
        <x:v>0.986</x:v>
      </x:c>
      <x:c r="E35" s="26" t="n">
        <x:f>C35*D35</x:f>
        <x:v>1609.152</x:v>
      </x:c>
      <x:c r="F35" s="26" t="n">
        <x:v>376.6</x:v>
      </x:c>
      <x:c r="G35" s="26" t="n">
        <x:v>238.7</x:v>
      </x:c>
      <x:c r="H35" s="26" t="n">
        <x:f>G35/(E35/100)</x:f>
        <x:v>14.833900091476753</x:v>
      </x:c>
      <x:c r="I35" s="24" t="str">
        <x:v>ACCEPTED</x:v>
      </x:c>
      <x:c r="J35" s="24" t="str">
        <x:v>Timestamp matched to shift log SAL-032</x:v>
      </x:c>
    </x:row>
    <x:row r="36">
      <x:c r="A36" s="24" t="str">
        <x:v>SYNC-033</x:v>
      </x:c>
      <x:c r="B36" s="24" t="str">
        <x:v>2026-06-22T08:00</x:v>
      </x:c>
      <x:c r="C36" s="26" t="n">
        <x:v>1621.3</x:v>
      </x:c>
      <x:c r="D36" s="26" t="n">
        <x:v>0.986</x:v>
      </x:c>
      <x:c r="E36" s="26" t="n">
        <x:f>C36*D36</x:f>
        <x:v>1598.6018</x:v>
      </x:c>
      <x:c r="F36" s="26" t="n">
        <x:v>374.5</x:v>
      </x:c>
      <x:c r="G36" s="26" t="n">
        <x:v>239.1</x:v>
      </x:c>
      <x:c r="H36" s="26" t="n">
        <x:f>G36/(E36/100)</x:f>
        <x:v>14.956820391419551</x:v>
      </x:c>
      <x:c r="I36" s="24" t="str">
        <x:v>ACCEPTED</x:v>
      </x:c>
      <x:c r="J36" s="24" t="str">
        <x:v>Timestamp matched to shift log SAL-033</x:v>
      </x:c>
    </x:row>
    <x:row r="37">
      <x:c r="A37" s="24" t="str">
        <x:v>SYNC-034</x:v>
      </x:c>
      <x:c r="B37" s="24" t="str">
        <x:v>2026-06-22T09:00</x:v>
      </x:c>
      <x:c r="C37" s="26" t="n">
        <x:v>1624.1</x:v>
      </x:c>
      <x:c r="D37" s="26" t="n">
        <x:v>0.986</x:v>
      </x:c>
      <x:c r="E37" s="26" t="n">
        <x:f>C37*D37</x:f>
        <x:v>1601.3626</x:v>
      </x:c>
      <x:c r="F37" s="26" t="n">
        <x:v>368.8</x:v>
      </x:c>
      <x:c r="G37" s="26" t="n">
        <x:v>239.4</x:v>
      </x:c>
      <x:c r="H37" s="26" t="n">
        <x:f>G37/(E37/100)</x:f>
        <x:v>14.949768403483386</x:v>
      </x:c>
      <x:c r="I37" s="24" t="str">
        <x:v>ACCEPTED</x:v>
      </x:c>
      <x:c r="J37" s="24" t="str">
        <x:v>Timestamp matched to shift log SAL-034</x:v>
      </x:c>
    </x:row>
    <x:row r="38">
      <x:c r="A38" s="24" t="str">
        <x:v>SYNC-035</x:v>
      </x:c>
      <x:c r="B38" s="24" t="str">
        <x:v>2026-06-22T10:00</x:v>
      </x:c>
      <x:c r="C38" s="26" t="n">
        <x:v>1623.8</x:v>
      </x:c>
      <x:c r="D38" s="26" t="n">
        <x:v>0.986</x:v>
      </x:c>
      <x:c r="E38" s="26" t="n">
        <x:f>C38*D38</x:f>
        <x:v>1601.0667999999998</x:v>
      </x:c>
      <x:c r="F38" s="26" t="n">
        <x:v>363</x:v>
      </x:c>
      <x:c r="G38" s="26" t="n">
        <x:v>238.8</x:v>
      </x:c>
      <x:c r="H38" s="26" t="n">
        <x:f>G38/(E38/100)</x:f>
        <x:v>14.915055386820839</x:v>
      </x:c>
      <x:c r="I38" s="24" t="str">
        <x:v>ACCEPTED</x:v>
      </x:c>
      <x:c r="J38" s="24" t="str">
        <x:v>Timestamp matched to shift log SAL-035</x:v>
      </x:c>
    </x:row>
    <x:row r="39">
      <x:c r="A39" s="24" t="str">
        <x:v>SYNC-036</x:v>
      </x:c>
      <x:c r="B39" s="24" t="str">
        <x:v>2026-06-22T11:00</x:v>
      </x:c>
      <x:c r="C39" s="26" t="n">
        <x:v>1615.5</x:v>
      </x:c>
      <x:c r="D39" s="26" t="n">
        <x:v>0.986</x:v>
      </x:c>
      <x:c r="E39" s="26" t="n">
        <x:f>C39*D39</x:f>
        <x:v>1592.883</x:v>
      </x:c>
      <x:c r="F39" s="26" t="n">
        <x:v>360.7</x:v>
      </x:c>
      <x:c r="G39" s="26" t="n">
        <x:v>237.1</x:v>
      </x:c>
      <x:c r="H39" s="26" t="n">
        <x:f>G39/(E39/100)</x:f>
        <x:v>14.884960163426943</x:v>
      </x:c>
      <x:c r="I39" s="24" t="str">
        <x:v>ACCEPTED</x:v>
      </x:c>
      <x:c r="J39" s="24" t="str">
        <x:v>Timestamp matched to shift log SAL-036</x:v>
      </x:c>
    </x:row>
    <x:row r="40">
      <x:c r="A40" s="24" t="str">
        <x:v>SYNC-037</x:v>
      </x:c>
      <x:c r="B40" s="24" t="str">
        <x:v>2026-06-22T12:00</x:v>
      </x:c>
      <x:c r="C40" s="26" t="n">
        <x:v>1608.4</x:v>
      </x:c>
      <x:c r="D40" s="26" t="n">
        <x:v>0.986</x:v>
      </x:c>
      <x:c r="E40" s="26" t="n">
        <x:f>C40*D40</x:f>
        <x:v>1585.8824</x:v>
      </x:c>
      <x:c r="F40" s="26" t="n">
        <x:v>362.2</x:v>
      </x:c>
      <x:c r="G40" s="26" t="n">
        <x:v>234.6</x:v>
      </x:c>
      <x:c r="H40" s="26" t="n">
        <x:f>G40/(E40/100)</x:f>
        <x:v>14.79302626726925</x:v>
      </x:c>
      <x:c r="I40" s="24" t="str">
        <x:v>ACCEPTED</x:v>
      </x:c>
      <x:c r="J40" s="24" t="str">
        <x:v>Timestamp matched to shift log SAL-037</x:v>
      </x:c>
    </x:row>
    <x:row r="41">
      <x:c r="A41" s="24" t="str">
        <x:v>SYNC-038</x:v>
      </x:c>
      <x:c r="B41" s="24" t="str">
        <x:v>2026-06-22T13:00</x:v>
      </x:c>
      <x:c r="C41" s="26" t="n">
        <x:v>1601.3</x:v>
      </x:c>
      <x:c r="D41" s="26" t="n">
        <x:v>0.986</x:v>
      </x:c>
      <x:c r="E41" s="26" t="n">
        <x:f>C41*D41</x:f>
        <x:v>1578.8817999999999</x:v>
      </x:c>
      <x:c r="F41" s="26" t="n">
        <x:v>364.1</x:v>
      </x:c>
      <x:c r="G41" s="26" t="n">
        <x:v>232.4</x:v>
      </x:c>
      <x:c r="H41" s="26" t="n">
        <x:f>G41/(E41/100)</x:f>
        <x:v>14.719277909213977</x:v>
      </x:c>
      <x:c r="I41" s="24" t="str">
        <x:v>ACCEPTED</x:v>
      </x:c>
      <x:c r="J41" s="24" t="str">
        <x:v>Timestamp matched to shift log SAL-038</x:v>
      </x:c>
    </x:row>
    <x:row r="42">
      <x:c r="A42" s="24" t="str">
        <x:v>SYNC-039</x:v>
      </x:c>
      <x:c r="B42" s="24" t="str">
        <x:v>2026-06-22T14:00</x:v>
      </x:c>
      <x:c r="C42" s="26" t="n">
        <x:v>1597</x:v>
      </x:c>
      <x:c r="D42" s="26" t="n">
        <x:v>0.986</x:v>
      </x:c>
      <x:c r="E42" s="26" t="n">
        <x:f>C42*D42</x:f>
        <x:v>1574.642</x:v>
      </x:c>
      <x:c r="F42" s="26" t="n">
        <x:v>363</x:v>
      </x:c>
      <x:c r="G42" s="26" t="n">
        <x:v>231</x:v>
      </x:c>
      <x:c r="H42" s="26" t="n">
        <x:f>G42/(E42/100)</x:f>
        <x:v>14.670001181220874</x:v>
      </x:c>
      <x:c r="I42" s="24" t="str">
        <x:v>ACCEPTED</x:v>
      </x:c>
      <x:c r="J42" s="24" t="str">
        <x:v>Timestamp matched to shift log SAL-039</x:v>
      </x:c>
    </x:row>
    <x:row r="43">
      <x:c r="A43" s="24" t="str">
        <x:v>SYNC-040</x:v>
      </x:c>
      <x:c r="B43" s="24" t="str">
        <x:v>2026-06-22T15:00</x:v>
      </x:c>
      <x:c r="C43" s="26" t="n">
        <x:v>1596.7</x:v>
      </x:c>
      <x:c r="D43" s="26" t="n">
        <x:v>0.986</x:v>
      </x:c>
      <x:c r="E43" s="26" t="n">
        <x:f>C43*D43</x:f>
        <x:v>1574.3462</x:v>
      </x:c>
      <x:c r="F43" s="26" t="n">
        <x:v>359</x:v>
      </x:c>
      <x:c r="G43" s="26" t="n">
        <x:v>231</x:v>
      </x:c>
      <x:c r="H43" s="26" t="n">
        <x:f>G43/(E43/100)</x:f>
        <x:v>14.672757491331959</x:v>
      </x:c>
      <x:c r="I43" s="24" t="str">
        <x:v>ACCEPTED</x:v>
      </x:c>
      <x:c r="J43" s="24" t="str">
        <x:v>Timestamp matched to shift log SAL-040</x:v>
      </x:c>
    </x:row>
    <x:row r="44">
      <x:c r="A44" s="24" t="str">
        <x:v>SYNC-041</x:v>
      </x:c>
      <x:c r="B44" s="24" t="str">
        <x:v>2026-06-22T16:00</x:v>
      </x:c>
      <x:c r="C44" s="26" t="n">
        <x:v>1595.5</x:v>
      </x:c>
      <x:c r="D44" s="26" t="n">
        <x:v>0.986</x:v>
      </x:c>
      <x:c r="E44" s="26" t="n">
        <x:f>C44*D44</x:f>
        <x:v>1573.163</x:v>
      </x:c>
      <x:c r="F44" s="26" t="n">
        <x:v>355.7</x:v>
      </x:c>
      <x:c r="G44" s="26" t="n">
        <x:v>231.9</x:v>
      </x:c>
      <x:c r="H44" s="26" t="n">
        <x:f>G44/(E44/100)</x:f>
        <x:v>14.741002680586817</x:v>
      </x:c>
      <x:c r="I44" s="24" t="str">
        <x:v>ACCEPTED</x:v>
      </x:c>
      <x:c r="J44" s="24" t="str">
        <x:v>Timestamp matched to shift log SAL-041</x:v>
      </x:c>
    </x:row>
    <x:row r="45">
      <x:c r="A45" s="24" t="str">
        <x:v>SYNC-042</x:v>
      </x:c>
      <x:c r="B45" s="24" t="str">
        <x:v>2026-06-22T17:00</x:v>
      </x:c>
      <x:c r="C45" s="26" t="n">
        <x:v>1599.1</x:v>
      </x:c>
      <x:c r="D45" s="26" t="n">
        <x:v>0.986</x:v>
      </x:c>
      <x:c r="E45" s="26" t="n">
        <x:f>C45*D45</x:f>
        <x:v>1576.7125999999998</x:v>
      </x:c>
      <x:c r="F45" s="26" t="n">
        <x:v>356.4</x:v>
      </x:c>
      <x:c r="G45" s="26" t="n">
        <x:v>233.2</x:v>
      </x:c>
      <x:c r="H45" s="26" t="n">
        <x:f>G45/(E45/100)</x:f>
        <x:v>14.790266786730824</x:v>
      </x:c>
      <x:c r="I45" s="24" t="str">
        <x:v>ACCEPTED</x:v>
      </x:c>
      <x:c r="J45" s="24" t="str">
        <x:v>Timestamp matched to shift log SAL-042</x:v>
      </x:c>
    </x:row>
    <x:row r="46">
      <x:c r="A46" s="24" t="str">
        <x:v>SYNC-043</x:v>
      </x:c>
      <x:c r="B46" s="24" t="str">
        <x:v>2026-06-22T18:00</x:v>
      </x:c>
      <x:c r="C46" s="26" t="n">
        <x:v>1601.2</x:v>
      </x:c>
      <x:c r="D46" s="26" t="n">
        <x:v>0.986</x:v>
      </x:c>
      <x:c r="E46" s="26" t="n">
        <x:f>C46*D46</x:f>
        <x:v>1578.7832</x:v>
      </x:c>
      <x:c r="F46" s="26" t="n">
        <x:v>361.1</x:v>
      </x:c>
      <x:c r="G46" s="26" t="n">
        <x:v>234.1</x:v>
      </x:c>
      <x:c r="H46" s="26" t="n">
        <x:f>G46/(E46/100)</x:f>
        <x:v>14.827875036927171</x:v>
      </x:c>
      <x:c r="I46" s="24" t="str">
        <x:v>ACCEPTED</x:v>
      </x:c>
      <x:c r="J46" s="24" t="str">
        <x:v>Timestamp matched to shift log SAL-043</x:v>
      </x:c>
    </x:row>
    <x:row r="47">
      <x:c r="A47" s="24" t="str">
        <x:v>SYNC-044</x:v>
      </x:c>
      <x:c r="B47" s="24" t="str">
        <x:v>2026-06-22T19:00</x:v>
      </x:c>
      <x:c r="C47" s="26" t="n">
        <x:v>1600.7</x:v>
      </x:c>
      <x:c r="D47" s="26" t="n">
        <x:v>0.986</x:v>
      </x:c>
      <x:c r="E47" s="26" t="n">
        <x:f>C47*D47</x:f>
        <x:v>1578.2902</x:v>
      </x:c>
      <x:c r="F47" s="26" t="n">
        <x:v>366.3</x:v>
      </x:c>
      <x:c r="G47" s="26" t="n">
        <x:v>234.1</x:v>
      </x:c>
      <x:c r="H47" s="26" t="n">
        <x:f>G47/(E47/100)</x:f>
        <x:v>14.832506721514205</x:v>
      </x:c>
      <x:c r="I47" s="24" t="str">
        <x:v>ACCEPTED</x:v>
      </x:c>
      <x:c r="J47" s="24" t="str">
        <x:v>Timestamp matched to shift log SAL-044</x:v>
      </x:c>
    </x:row>
    <x:row r="48">
      <x:c r="A48" s="24" t="str">
        <x:v>SYNC-045</x:v>
      </x:c>
      <x:c r="B48" s="24" t="str">
        <x:v>2026-06-22T20:00</x:v>
      </x:c>
      <x:c r="C48" s="26" t="n">
        <x:v>1598.7</x:v>
      </x:c>
      <x:c r="D48" s="26" t="n">
        <x:v>0.986</x:v>
      </x:c>
      <x:c r="E48" s="26" t="n">
        <x:f>C48*D48</x:f>
        <x:v>1576.3182</x:v>
      </x:c>
      <x:c r="F48" s="26" t="n">
        <x:v>368.4</x:v>
      </x:c>
      <x:c r="G48" s="26" t="n">
        <x:v>233.7</x:v>
      </x:c>
      <x:c r="H48" s="26" t="n">
        <x:f>G48/(E48/100)</x:f>
        <x:v>14.825686844191738</x:v>
      </x:c>
      <x:c r="I48" s="24" t="str">
        <x:v>ACCEPTED</x:v>
      </x:c>
      <x:c r="J48" s="24" t="str">
        <x:v>Timestamp matched to shift log SAL-045</x:v>
      </x:c>
    </x:row>
    <x:row r="49">
      <x:c r="A49" s="24" t="str">
        <x:v>SYNC-046</x:v>
      </x:c>
      <x:c r="B49" s="24" t="str">
        <x:v>2026-06-22T21:00</x:v>
      </x:c>
      <x:c r="C49" s="26" t="n">
        <x:v>1593.5</x:v>
      </x:c>
      <x:c r="D49" s="26" t="n">
        <x:v>0.986</x:v>
      </x:c>
      <x:c r="E49" s="26" t="n">
        <x:f>C49*D49</x:f>
        <x:v>1571.191</x:v>
      </x:c>
      <x:c r="F49" s="26" t="n">
        <x:v>367.2</x:v>
      </x:c>
      <x:c r="G49" s="26" t="n">
        <x:v>233.4</x:v>
      </x:c>
      <x:c r="H49" s="26" t="n">
        <x:f>G49/(E49/100)</x:f>
        <x:v>14.854973074565729</x:v>
      </x:c>
      <x:c r="I49" s="24" t="str">
        <x:v>ACCEPTED</x:v>
      </x:c>
      <x:c r="J49" s="24" t="str">
        <x:v>Timestamp matched to shift log SAL-046</x:v>
      </x:c>
    </x:row>
    <x:row r="50">
      <x:c r="A50" s="24" t="str">
        <x:v>SYNC-047</x:v>
      </x:c>
      <x:c r="B50" s="24" t="str">
        <x:v>2026-06-22T22:00</x:v>
      </x:c>
      <x:c r="C50" s="26" t="n">
        <x:v>1595.4</x:v>
      </x:c>
      <x:c r="D50" s="26" t="n">
        <x:v>0.986</x:v>
      </x:c>
      <x:c r="E50" s="26" t="n">
        <x:f>C50*D50</x:f>
        <x:v>1573.0644</x:v>
      </x:c>
      <x:c r="F50" s="26" t="n">
        <x:v>366.1</x:v>
      </x:c>
      <x:c r="G50" s="26" t="n">
        <x:v>234</x:v>
      </x:c>
      <x:c r="H50" s="26" t="n">
        <x:f>G50/(E50/100)</x:f>
        <x:v>14.875424044940564</x:v>
      </x:c>
      <x:c r="I50" s="24" t="str">
        <x:v>ACCEPTED</x:v>
      </x:c>
      <x:c r="J50" s="24" t="str">
        <x:v>Timestamp matched to shift log SAL-047</x:v>
      </x:c>
    </x:row>
    <x:row r="51">
      <x:c r="A51" s="24" t="str">
        <x:v>SYNC-048</x:v>
      </x:c>
      <x:c r="B51" s="24" t="str">
        <x:v>2026-06-22T23:00</x:v>
      </x:c>
      <x:c r="C51" s="26" t="n">
        <x:v>1601.3</x:v>
      </x:c>
      <x:c r="D51" s="26" t="n">
        <x:v>0.986</x:v>
      </x:c>
      <x:c r="E51" s="26" t="n">
        <x:f>C51*D51</x:f>
        <x:v>1578.8817999999999</x:v>
      </x:c>
      <x:c r="F51" s="26" t="n">
        <x:v>368.4</x:v>
      </x:c>
      <x:c r="G51" s="26" t="n">
        <x:v>235.7</x:v>
      </x:c>
      <x:c r="H51" s="26" t="n">
        <x:f>G51/(E51/100)</x:f>
        <x:v>14.928286588647738</x:v>
      </x:c>
      <x:c r="I51" s="24" t="str">
        <x:v>ACCEPTED</x:v>
      </x:c>
      <x:c r="J51" s="24" t="str">
        <x:v>Timestamp matched to shift log SAL-048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5900542ccd7b49a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16" hidden="0" customWidth="1"/>
    <x:col min="5" max="5" width="20" hidden="0" customWidth="1"/>
    <x:col min="6" max="6" width="55" hidden="0" customWidth="1"/>
  </x:cols>
  <x:sheetData>
    <x:row r="1" ht="24" customHeight="1">
      <x:c r="A1" s="5" t="str">
        <x:v>Meter Calibration and Synchronization References</x:v>
      </x:c>
      <x:c r="B1" s="5"/>
      <x:c r="C1" s="5"/>
      <x:c r="D1" s="5"/>
      <x:c r="E1" s="5"/>
      <x:c r="F1" s="5"/>
    </x:row>
    <x:row r="3">
      <x:c r="A3" s="15" t="str">
        <x:v>calibration_id</x:v>
      </x:c>
      <x:c r="B3" s="15" t="str">
        <x:v>meter</x:v>
      </x:c>
      <x:c r="C3" s="15" t="str">
        <x:v>date</x:v>
      </x:c>
      <x:c r="D3" s="15" t="str">
        <x:v>status</x:v>
      </x:c>
      <x:c r="E3" s="15" t="str">
        <x:v>uncertainty_percent</x:v>
      </x:c>
      <x:c r="F3" s="15" t="str">
        <x:v>note</x:v>
      </x:c>
    </x:row>
    <x:row r="4">
      <x:c r="A4" s="24" t="str">
        <x:v>CAL-PWR-2601</x:v>
      </x:c>
      <x:c r="B4" s="24" t="str">
        <x:v>PWR-317A</x:v>
      </x:c>
      <x:c r="C4" s="24" t="str">
        <x:v>2026-06-18</x:v>
      </x:c>
      <x:c r="D4" s="24" t="str">
        <x:v>ACCEPTED</x:v>
      </x:c>
      <x:c r="E4" s="24" t="str">
        <x:v>0.5</x:v>
      </x:c>
      <x:c r="F4" s="24" t="str">
        <x:v>Power meter timebase synchronized to FT-317A logger</x:v>
      </x:c>
    </x:row>
    <x:row r="5">
      <x:c r="A5" s="24" t="str">
        <x:v>CAL-FT317A-2026-06</x:v>
      </x:c>
      <x:c r="B5" s="24" t="str">
        <x:v>FT-317A</x:v>
      </x:c>
      <x:c r="C5" s="24" t="str">
        <x:v>2026-06-18</x:v>
      </x:c>
      <x:c r="D5" s="24" t="str">
        <x:v>ACCEPTED</x:v>
      </x:c>
      <x:c r="E5" s="24" t="str">
        <x:v>0.8</x:v>
      </x:c>
      <x:c r="F5" s="24" t="str">
        <x:v>Accepted as-left flow multiplier 0.986</x:v>
      </x:c>
    </x:row>
    <x:row r="6">
      <x:c r="A6" s="24" t="str">
        <x:v>CAL-PWR-2401</x:v>
      </x:c>
      <x:c r="B6" s="24" t="str">
        <x:v>PWR-317A</x:v>
      </x:c>
      <x:c r="C6" s="24" t="str">
        <x:v>2024-04-12</x:v>
      </x:c>
      <x:c r="D6" s="24" t="str">
        <x:v>SUPERSEDED</x:v>
      </x:c>
      <x:c r="E6" s="24" t="str">
        <x:v>0.7</x:v>
      </x:c>
      <x:c r="F6" s="24" t="str">
        <x:v>Previous calibration retained for history only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c44950a1ba64b8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22" hidden="0" customWidth="1"/>
    <x:col min="5" max="5" width="45" hidden="0" customWidth="1"/>
    <x:col min="6" max="6" width="16" hidden="0" customWidth="1"/>
    <x:col min="7" max="7" width="40" hidden="0" customWidth="1"/>
  </x:cols>
  <x:sheetData>
    <x:row r="1" ht="24" customHeight="1">
      <x:c r="A1" s="5" t="str">
        <x:v>Accepted Synchronized Performance Summary</x:v>
      </x:c>
      <x:c r="B1" s="5"/>
      <x:c r="C1" s="5"/>
      <x:c r="D1" s="5"/>
      <x:c r="E1" s="5"/>
      <x:c r="F1" s="5"/>
      <x:c r="G1" s="5"/>
    </x:row>
    <x:row r="3">
      <x:c r="A3" s="15" t="str">
        <x:v>summary_id</x:v>
      </x:c>
      <x:c r="B3" s="15" t="str">
        <x:v>metric</x:v>
      </x:c>
      <x:c r="C3" s="15" t="str">
        <x:v>accepted_value</x:v>
      </x:c>
      <x:c r="D3" s="15" t="str">
        <x:v>unit</x:v>
      </x:c>
      <x:c r="E3" s="15" t="str">
        <x:v>basis</x:v>
      </x:c>
      <x:c r="F3" s="15" t="str">
        <x:v>status</x:v>
      </x:c>
      <x:c r="G3" s="15" t="str">
        <x:v>note</x:v>
      </x:c>
    </x:row>
    <x:row r="4">
      <x:c r="A4" s="24" t="str">
        <x:v>PWR-SUM-001</x:v>
      </x:c>
      <x:c r="B4" s="24" t="str">
        <x:v>Mean raw flow</x:v>
      </x:c>
      <x:c r="C4" s="24" t="n">
        <x:v>1608.7</x:v>
      </x:c>
      <x:c r="D4" s="24" t="str">
        <x:v>scfm</x:v>
      </x:c>
      <x:c r="E4" s="24" t="str">
        <x:v>48 synchronized rows</x:v>
      </x:c>
      <x:c r="F4" s="24" t="str">
        <x:v>ACCEPTED</x:v>
      </x:c>
      <x:c r="G4" s="24" t="str"/>
    </x:row>
    <x:row r="5">
      <x:c r="A5" s="24" t="str">
        <x:v>PWR-SUM-002</x:v>
      </x:c>
      <x:c r="B5" s="24" t="str">
        <x:v>Mean corrected flow</x:v>
      </x:c>
      <x:c r="C5" s="24" t="n">
        <x:v>1586.2</x:v>
      </x:c>
      <x:c r="D5" s="24" t="str">
        <x:v>scfm</x:v>
      </x:c>
      <x:c r="E5" s="24" t="str">
        <x:v>Mean raw flow multiplied by 0.986</x:v>
      </x:c>
      <x:c r="F5" s="24" t="str">
        <x:v>ACCEPTED</x:v>
      </x:c>
      <x:c r="G5" s="24" t="str"/>
    </x:row>
    <x:row r="6">
      <x:c r="A6" s="24" t="str">
        <x:v>PWR-SUM-003</x:v>
      </x:c>
      <x:c r="B6" s="24" t="str">
        <x:v>Minimum corrected flow</x:v>
      </x:c>
      <x:c r="C6" s="24" t="n">
        <x:v>1561.8</x:v>
      </x:c>
      <x:c r="D6" s="24" t="str">
        <x:v>scfm</x:v>
      </x:c>
      <x:c r="E6" s="24" t="str">
        <x:v>48 synchronized rows</x:v>
      </x:c>
      <x:c r="F6" s="24" t="str">
        <x:v>ACCEPTED</x:v>
      </x:c>
      <x:c r="G6" s="24" t="str"/>
    </x:row>
    <x:row r="7">
      <x:c r="A7" s="24" t="str">
        <x:v>PWR-SUM-004</x:v>
      </x:c>
      <x:c r="B7" s="24" t="str">
        <x:v>Maximum corrected flow</x:v>
      </x:c>
      <x:c r="C7" s="24" t="n">
        <x:v>1609.2</x:v>
      </x:c>
      <x:c r="D7" s="24" t="str">
        <x:v>scfm</x:v>
      </x:c>
      <x:c r="E7" s="24" t="str">
        <x:v>48 synchronized rows</x:v>
      </x:c>
      <x:c r="F7" s="24" t="str">
        <x:v>ACCEPTED</x:v>
      </x:c>
      <x:c r="G7" s="24" t="str"/>
    </x:row>
    <x:row r="8">
      <x:c r="A8" s="24" t="str">
        <x:v>PWR-SUM-005</x:v>
      </x:c>
      <x:c r="B8" s="24" t="str">
        <x:v>Mean motor power</x:v>
      </x:c>
      <x:c r="C8" s="24" t="n">
        <x:v>236.4</x:v>
      </x:c>
      <x:c r="D8" s="24" t="str">
        <x:v>kW</x:v>
      </x:c>
      <x:c r="E8" s="24" t="str">
        <x:v>48 synchronized rows</x:v>
      </x:c>
      <x:c r="F8" s="24" t="str">
        <x:v>ACCEPTED</x:v>
      </x:c>
      <x:c r="G8" s="24" t="str"/>
    </x:row>
    <x:row r="9">
      <x:c r="A9" s="24" t="str">
        <x:v>PWR-SUM-006</x:v>
      </x:c>
      <x:c r="B9" s="24" t="str">
        <x:v>Maximum motor current</x:v>
      </x:c>
      <x:c r="C9" s="24" t="n">
        <x:v>382.6</x:v>
      </x:c>
      <x:c r="D9" s="24" t="str">
        <x:v>A</x:v>
      </x:c>
      <x:c r="E9" s="24" t="str">
        <x:v>48 synchronized rows</x:v>
      </x:c>
      <x:c r="F9" s="24" t="str">
        <x:v>ACCEPTED</x:v>
      </x:c>
      <x:c r="G9" s="24" t="str"/>
    </x:row>
    <x:row r="10">
      <x:c r="A10" s="24" t="str">
        <x:v>PWR-SUM-007</x:v>
      </x:c>
      <x:c r="B10" s="24" t="str">
        <x:v>Specific power</x:v>
      </x:c>
      <x:c r="C10" s="24" t="n">
        <x:v>14.9</x:v>
      </x:c>
      <x:c r="D10" s="24" t="str">
        <x:v>kW per 100 scfm</x:v>
      </x:c>
      <x:c r="E10" s="24" t="str">
        <x:v>Mean power divided by mean corrected flow times 100</x:v>
      </x:c>
      <x:c r="F10" s="24" t="str">
        <x:v>ACCEPTED</x:v>
      </x:c>
      <x:c r="G10" s="24" t="str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701e3bbe8e29422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22" hidden="0" customWidth="1"/>
    <x:col min="5" max="5" width="60" hidden="0" customWidth="1"/>
    <x:col min="6" max="6" width="18" hidden="0" customWidth="1"/>
  </x:cols>
  <x:sheetData>
    <x:row r="1" ht="24" customHeight="1">
      <x:c r="A1" s="5" t="str">
        <x:v>Control Panel Summary Values - Internal Cross-check Only</x:v>
      </x:c>
      <x:c r="B1" s="5"/>
      <x:c r="C1" s="5"/>
      <x:c r="D1" s="5"/>
      <x:c r="E1" s="5"/>
      <x:c r="F1" s="5"/>
    </x:row>
    <x:row r="3">
      <x:c r="A3" s="15" t="str">
        <x:v>summary_id</x:v>
      </x:c>
      <x:c r="B3" s="15" t="str">
        <x:v>metric</x:v>
      </x:c>
      <x:c r="C3" s="15" t="str">
        <x:v>reported_value</x:v>
      </x:c>
      <x:c r="D3" s="15" t="str">
        <x:v>unit</x:v>
      </x:c>
      <x:c r="E3" s="15" t="str">
        <x:v>calculation_issue</x:v>
      </x:c>
      <x:c r="F3" s="15" t="str">
        <x:v>status</x:v>
      </x:c>
    </x:row>
    <x:row r="4">
      <x:c r="A4" s="24" t="str">
        <x:v>PANEL-001</x:v>
      </x:c>
      <x:c r="B4" s="24" t="str">
        <x:v>Mean motor power</x:v>
      </x:c>
      <x:c r="C4" s="24" t="str">
        <x:v>233.8</x:v>
      </x:c>
      <x:c r="D4" s="24" t="str">
        <x:v>kW</x:v>
      </x:c>
      <x:c r="E4" s="24" t="str">
        <x:v>Panel summary excludes 10 high-load rows without documenting the filter</x:v>
      </x:c>
      <x:c r="F4" s="24" t="str">
        <x:v>NONCONTROLLING</x:v>
      </x:c>
    </x:row>
    <x:row r="5">
      <x:c r="A5" s="24" t="str">
        <x:v>PANEL-002</x:v>
      </x:c>
      <x:c r="B5" s="24" t="str">
        <x:v>Mean delivered flow</x:v>
      </x:c>
      <x:c r="C5" s="24" t="str">
        <x:v>1589.4</x:v>
      </x:c>
      <x:c r="D5" s="24" t="str">
        <x:v>scfm</x:v>
      </x:c>
      <x:c r="E5" s="24" t="str">
        <x:v>Panel applies 0.988 rather than accepted 0.986 factor</x:v>
      </x:c>
      <x:c r="F5" s="24" t="str">
        <x:v>NONCONTROLLING</x:v>
      </x:c>
    </x:row>
    <x:row r="6">
      <x:c r="A6" s="24" t="str">
        <x:v>PANEL-003</x:v>
      </x:c>
      <x:c r="B6" s="24" t="str">
        <x:v>Specific power</x:v>
      </x:c>
      <x:c r="C6" s="24" t="str">
        <x:v>14.71</x:v>
      </x:c>
      <x:c r="D6" s="24" t="str">
        <x:v>kW per 100 scfm</x:v>
      </x:c>
      <x:c r="E6" s="24" t="str">
        <x:v>Derived from noncontrolling panel means</x:v>
      </x:c>
      <x:c r="F6" s="24" t="str">
        <x:v>NONCONTROLLING</x:v>
      </x:c>
    </x:row>
    <x:row r="7">
      <x:c r="A7" s="24" t="str">
        <x:v>PANEL-004</x:v>
      </x:c>
      <x:c r="B7" s="24" t="str">
        <x:v>Maximum current</x:v>
      </x:c>
      <x:c r="C7" s="24" t="str">
        <x:v>379.8</x:v>
      </x:c>
      <x:c r="D7" s="24" t="str">
        <x:v>A</x:v>
      </x:c>
      <x:c r="E7" s="24" t="str">
        <x:v>Panel omits SYNC-031 transient row</x:v>
      </x:c>
      <x:c r="F7" s="24" t="str">
        <x:v>NONCONTROLLING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cac1c7446bf4bb2"/>
  </x:tableParts>
</x:worksheet>
</file>